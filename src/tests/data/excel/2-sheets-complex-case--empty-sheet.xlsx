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350CE88B-73FE-4FF7-A8FE-1B1DF13FFA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v 27 JAN2014" sheetId="1" r:id="rId1"/>
    <sheet name="empty" sheetId="5" r:id="rId2"/>
  </sheets>
  <definedNames>
    <definedName name="_xlnm.Print_Area" localSheetId="0">'Rev 27 JAN2014'!$B$8:$AW$32</definedName>
    <definedName name="_xlnm.Print_Titles" localSheetId="0">'Rev 27 JAN2014'!$B:$D,'Rev 27 JAN2014'!$1:$7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8" i="1" l="1"/>
  <c r="Z18" i="1"/>
  <c r="Z17" i="1"/>
  <c r="Z16" i="1"/>
  <c r="Z14" i="1"/>
  <c r="Z13" i="1"/>
  <c r="Z12" i="1"/>
  <c r="Z10" i="1"/>
  <c r="Z8" i="1"/>
  <c r="AB16" i="1"/>
  <c r="AB14" i="1"/>
  <c r="AB13" i="1"/>
  <c r="AB12" i="1"/>
  <c r="AB10" i="1"/>
  <c r="AB8" i="1"/>
  <c r="AJ24" i="1"/>
  <c r="AJ22" i="1"/>
  <c r="AJ21" i="1"/>
  <c r="AJ23" i="1"/>
  <c r="Z23" i="1" l="1"/>
  <c r="AA26" i="1"/>
  <c r="W26" i="1"/>
  <c r="AA24" i="1"/>
  <c r="Y24" i="1"/>
  <c r="W24" i="1"/>
  <c r="AA23" i="1"/>
  <c r="S23" i="1" s="1"/>
  <c r="Y23" i="1"/>
  <c r="Q23" i="1" s="1"/>
  <c r="X23" i="1"/>
  <c r="P23" i="1" s="1"/>
  <c r="W23" i="1"/>
  <c r="AA22" i="1"/>
  <c r="W22" i="1"/>
  <c r="AA21" i="1"/>
  <c r="S21" i="1" s="1"/>
  <c r="Y21" i="1"/>
  <c r="Q21" i="1" s="1"/>
  <c r="W21" i="1"/>
  <c r="V26" i="1"/>
  <c r="V24" i="1"/>
  <c r="V23" i="1"/>
  <c r="N23" i="1" s="1"/>
  <c r="V22" i="1"/>
  <c r="V21" i="1"/>
  <c r="N21" i="1" s="1"/>
  <c r="X9" i="1"/>
  <c r="Z9" i="1" l="1"/>
  <c r="Z21" i="1" s="1"/>
  <c r="AB9" i="1"/>
  <c r="O21" i="1"/>
  <c r="O23" i="1"/>
  <c r="T23" i="1" s="1"/>
  <c r="AB23" i="1"/>
  <c r="V27" i="1"/>
  <c r="AA27" i="1"/>
  <c r="W27" i="1"/>
  <c r="X21" i="1"/>
  <c r="P21" i="1" s="1"/>
  <c r="X15" i="1"/>
  <c r="Y11" i="1"/>
  <c r="X11" i="1"/>
  <c r="R21" i="1" l="1"/>
  <c r="AB21" i="1"/>
  <c r="R23" i="1"/>
  <c r="Z15" i="1"/>
  <c r="Z24" i="1" s="1"/>
  <c r="AB15" i="1"/>
  <c r="Z11" i="1"/>
  <c r="AB11" i="1"/>
  <c r="AK23" i="1"/>
  <c r="T21" i="1"/>
  <c r="AK21" i="1" s="1"/>
  <c r="AU23" i="1"/>
  <c r="AT23" i="1" s="1"/>
  <c r="AH23" i="1"/>
  <c r="X22" i="1"/>
  <c r="AL23" i="1"/>
  <c r="X24" i="1"/>
  <c r="AB24" i="1" s="1"/>
  <c r="X26" i="1"/>
  <c r="Y22" i="1"/>
  <c r="Y26" i="1"/>
  <c r="AE23" i="1" l="1"/>
  <c r="AD23" i="1" s="1"/>
  <c r="AB22" i="1"/>
  <c r="AB27" i="1" s="1"/>
  <c r="AU24" i="1"/>
  <c r="AH24" i="1"/>
  <c r="AU21" i="1"/>
  <c r="AT21" i="1" s="1"/>
  <c r="AH21" i="1"/>
  <c r="X27" i="1"/>
  <c r="Y27" i="1"/>
  <c r="Z22" i="1"/>
  <c r="Z27" i="1" s="1"/>
  <c r="Z26" i="1"/>
  <c r="AM23" i="1"/>
  <c r="AL24" i="1"/>
  <c r="AL21" i="1"/>
  <c r="AH22" i="1"/>
  <c r="AB26" i="1"/>
  <c r="AE21" i="1" l="1"/>
  <c r="AD21" i="1" s="1"/>
  <c r="AE24" i="1"/>
  <c r="AD24" i="1" s="1"/>
  <c r="AH27" i="1"/>
  <c r="AL22" i="1"/>
  <c r="AM22" i="1" s="1"/>
  <c r="AU22" i="1"/>
  <c r="AM24" i="1"/>
  <c r="AM21" i="1"/>
  <c r="AE22" i="1" l="1"/>
  <c r="AL27" i="1"/>
  <c r="AE26" i="1" s="1"/>
  <c r="AM27" i="1"/>
  <c r="AD22" i="1" l="1"/>
  <c r="AE27" i="1"/>
</calcChain>
</file>

<file path=xl/sharedStrings.xml><?xml version="1.0" encoding="utf-8"?>
<sst xmlns="http://schemas.openxmlformats.org/spreadsheetml/2006/main" count="174" uniqueCount="97">
  <si>
    <t>Manufacturing</t>
  </si>
  <si>
    <t>Brindisi</t>
  </si>
  <si>
    <t>Italy</t>
  </si>
  <si>
    <t>Virton</t>
  </si>
  <si>
    <t>Belgium</t>
  </si>
  <si>
    <t>Kerkrade</t>
  </si>
  <si>
    <t>Netherlands</t>
  </si>
  <si>
    <t>Parent Company</t>
  </si>
  <si>
    <t>Luxemburg</t>
  </si>
  <si>
    <t xml:space="preserve"> </t>
  </si>
  <si>
    <t>Steel</t>
  </si>
  <si>
    <t>Concrete</t>
  </si>
  <si>
    <t>and F&amp;F</t>
  </si>
  <si>
    <t>Reins</t>
  </si>
  <si>
    <t>Exch</t>
  </si>
  <si>
    <t>Local</t>
  </si>
  <si>
    <t>Territory</t>
  </si>
  <si>
    <t>Type</t>
  </si>
  <si>
    <t>Rate</t>
  </si>
  <si>
    <t>Curr</t>
  </si>
  <si>
    <t>Insured</t>
  </si>
  <si>
    <t>Address</t>
  </si>
  <si>
    <t>City</t>
  </si>
  <si>
    <t>Construction/</t>
  </si>
  <si>
    <t xml:space="preserve">Sprinklered </t>
  </si>
  <si>
    <t>Pct %</t>
  </si>
  <si>
    <t>Footage</t>
  </si>
  <si>
    <t>Square</t>
  </si>
  <si>
    <t>ITALY</t>
  </si>
  <si>
    <t>BELGIUM</t>
  </si>
  <si>
    <t>NETHERLANDS</t>
  </si>
  <si>
    <t>LUXEMBOURG</t>
  </si>
  <si>
    <t>Building</t>
  </si>
  <si>
    <t>TIV USD</t>
  </si>
  <si>
    <t>M&amp;E</t>
  </si>
  <si>
    <t>&amp;Software</t>
  </si>
  <si>
    <t>Contents Including</t>
  </si>
  <si>
    <t>Inventory</t>
  </si>
  <si>
    <t>EDP Equip &amp;</t>
  </si>
  <si>
    <t>Interruption</t>
  </si>
  <si>
    <t>Business</t>
  </si>
  <si>
    <t>Occupancy</t>
  </si>
  <si>
    <t>(Mfg, Whse)</t>
  </si>
  <si>
    <t>Values</t>
  </si>
  <si>
    <t>Total PD/BI</t>
  </si>
  <si>
    <t>TOTAL</t>
  </si>
  <si>
    <t>GWP shown does not include  taxes and surcharges which are billed in addition to the premium</t>
  </si>
  <si>
    <t>GWP shown does not include payments to any local pool or insurance scheme</t>
  </si>
  <si>
    <t>GWP shown does include  taxes which are deducted from premium ceded</t>
  </si>
  <si>
    <t>GXP is the GWP less mandatory local retention and less mandatory local reinsurance</t>
  </si>
  <si>
    <t>Local $</t>
  </si>
  <si>
    <t>USD $</t>
  </si>
  <si>
    <t>GWP</t>
  </si>
  <si>
    <t>GXP</t>
  </si>
  <si>
    <t>PCT</t>
  </si>
  <si>
    <t>Method Of</t>
  </si>
  <si>
    <t>Policy</t>
  </si>
  <si>
    <t>Payment</t>
  </si>
  <si>
    <t>AvTerm</t>
  </si>
  <si>
    <t>Local$</t>
  </si>
  <si>
    <t>USDLRS</t>
  </si>
  <si>
    <t>EXP</t>
  </si>
  <si>
    <t>BRKG</t>
  </si>
  <si>
    <t>Tax</t>
  </si>
  <si>
    <t>Limit</t>
  </si>
  <si>
    <t>USD</t>
  </si>
  <si>
    <t>NIL</t>
  </si>
  <si>
    <t>Local Collect</t>
  </si>
  <si>
    <t>Standard Local</t>
  </si>
  <si>
    <t>SUBTOTAL BY TERRITORY</t>
  </si>
  <si>
    <t>Total PD</t>
  </si>
  <si>
    <t>Not Covered</t>
  </si>
  <si>
    <t>Vestastraat, 5</t>
  </si>
  <si>
    <t xml:space="preserve">Postal </t>
  </si>
  <si>
    <t>Code</t>
  </si>
  <si>
    <t>OFF SITE PROPERTY:  Not Covered</t>
  </si>
  <si>
    <t>6468 EX</t>
  </si>
  <si>
    <t>1b Rue Thomas Edison</t>
  </si>
  <si>
    <t>Luxembourg</t>
  </si>
  <si>
    <t>L1445 GD</t>
  </si>
  <si>
    <t>Strada Per Pandi 4, Zona Industriale</t>
  </si>
  <si>
    <t>Zoning Latour</t>
  </si>
  <si>
    <t>TIV Local$</t>
  </si>
  <si>
    <t>EUR</t>
  </si>
  <si>
    <t>Belgium:  Currency revised from USD to EUR at request of the Insured</t>
  </si>
  <si>
    <t>Luxembourg:  Currency revised from USD to EUR at request of the Insured</t>
  </si>
  <si>
    <t>MASTER POLICY</t>
  </si>
  <si>
    <t xml:space="preserve">Local </t>
  </si>
  <si>
    <t>Master</t>
  </si>
  <si>
    <t>Perils</t>
  </si>
  <si>
    <t>NO Cover for EQ,FL,B&amp;M</t>
  </si>
  <si>
    <t>INCL FL,EQ,B&amp;M</t>
  </si>
  <si>
    <t>Total Program Premium</t>
  </si>
  <si>
    <t>ABC Films Europe Virton B.V.</t>
  </si>
  <si>
    <t>ABC Films Europe Sud Srl</t>
  </si>
  <si>
    <t>ABC Films Europe S.a.r.l.</t>
  </si>
  <si>
    <t>ABC Films Europe Kerkrade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</si>
</sst>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 &quot;#,##0.00&quot; &quot;;&quot; (&quot;#,##0.00&quot;)&quot;;&quot; -&quot;00&quot; &quot;;&quot; &quot;@&quot; &quot;"/>
    <numFmt numFmtId="165" formatCode="&quot; &quot;&quot;$&quot;#,##0.00&quot; &quot;;&quot; &quot;&quot;$&quot;&quot;(&quot;#,##0.00&quot;)&quot;;&quot; &quot;&quot;$&quot;&quot;-&quot;00&quot; &quot;;&quot; &quot;@&quot; &quot;"/>
    <numFmt numFmtId="166" formatCode="_(* #,##0_);_(* \(#,##0\);_(* &quot;-&quot;??_);_(@_)"/>
    <numFmt numFmtId="167" formatCode="0.0000%"/>
    <numFmt numFmtId="168" formatCode="0.0%"/>
    <numFmt numFmtId="169" formatCode="0_);\(0\)"/>
    <numFmt numFmtId="170" formatCode="0.0000_);\(0.0000\)"/>
  </numFmts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Alignment="1">
      <alignment vertical="center"/>
    </xf>
    <xf numFmtId="0" fontId="4" fillId="2" borderId="0" xfId="0" quotePrefix="1" applyFont="1" applyFill="1" applyAlignment="1">
      <alignment vertical="center"/>
    </xf>
    <xf numFmtId="37" fontId="4" fillId="2" borderId="0" xfId="0" quotePrefix="1" applyNumberFormat="1" applyFont="1" applyFill="1" applyAlignment="1">
      <alignment vertical="center"/>
    </xf>
    <xf numFmtId="37" fontId="4" fillId="2" borderId="0" xfId="0" applyNumberFormat="1" applyFont="1" applyFill="1" applyAlignment="1">
      <alignment vertical="center"/>
    </xf>
    <xf numFmtId="10" fontId="4" fillId="2" borderId="0" xfId="0" applyNumberFormat="1" applyFont="1" applyFill="1" applyAlignment="1">
      <alignment vertical="center"/>
    </xf>
    <xf numFmtId="169" fontId="4" fillId="2" borderId="0" xfId="0" applyNumberFormat="1" applyFont="1" applyFill="1" applyAlignment="1">
      <alignment vertical="center"/>
    </xf>
    <xf numFmtId="37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169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7" fontId="4" fillId="2" borderId="0" xfId="0" applyNumberFormat="1" applyFont="1" applyFill="1" applyAlignment="1">
      <alignment vertical="center"/>
    </xf>
    <xf numFmtId="10" fontId="4" fillId="2" borderId="0" xfId="0" quotePrefix="1" applyNumberFormat="1" applyFont="1" applyFill="1" applyAlignment="1">
      <alignment vertical="center"/>
    </xf>
    <xf numFmtId="10" fontId="4" fillId="2" borderId="0" xfId="0" quotePrefix="1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166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37" fontId="3" fillId="0" borderId="0" xfId="0" applyNumberFormat="1" applyFont="1" applyAlignment="1">
      <alignment vertical="center"/>
    </xf>
    <xf numFmtId="37" fontId="4" fillId="0" borderId="0" xfId="0" applyNumberFormat="1" applyFont="1" applyAlignment="1">
      <alignment horizontal="left" vertical="center"/>
    </xf>
    <xf numFmtId="0" fontId="4" fillId="2" borderId="0" xfId="0" quotePrefix="1" applyFont="1" applyFill="1" applyAlignment="1">
      <alignment horizontal="right" vertical="center"/>
    </xf>
    <xf numFmtId="37" fontId="4" fillId="2" borderId="0" xfId="0" quotePrefix="1" applyNumberFormat="1" applyFont="1" applyFill="1" applyAlignment="1">
      <alignment horizontal="right" vertical="center"/>
    </xf>
    <xf numFmtId="10" fontId="3" fillId="0" borderId="0" xfId="0" applyNumberFormat="1" applyFont="1" applyAlignment="1">
      <alignment vertical="center"/>
    </xf>
    <xf numFmtId="37" fontId="4" fillId="0" borderId="0" xfId="0" applyNumberFormat="1" applyFont="1" applyAlignment="1">
      <alignment horizontal="center" vertical="center"/>
    </xf>
    <xf numFmtId="37" fontId="4" fillId="0" borderId="0" xfId="2" applyNumberFormat="1" applyFont="1" applyBorder="1" applyAlignment="1">
      <alignment vertical="center"/>
    </xf>
    <xf numFmtId="37" fontId="3" fillId="0" borderId="0" xfId="2" applyNumberFormat="1" applyFont="1" applyBorder="1" applyAlignment="1">
      <alignment vertical="center"/>
    </xf>
    <xf numFmtId="37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7" fontId="4" fillId="3" borderId="0" xfId="0" applyNumberFormat="1" applyFont="1" applyFill="1" applyAlignment="1">
      <alignment vertical="center"/>
    </xf>
    <xf numFmtId="37" fontId="4" fillId="3" borderId="0" xfId="0" applyNumberFormat="1" applyFont="1" applyFill="1" applyAlignment="1">
      <alignment vertical="center"/>
    </xf>
    <xf numFmtId="37" fontId="4" fillId="3" borderId="0" xfId="0" applyNumberFormat="1" applyFont="1" applyFill="1" applyAlignment="1">
      <alignment horizontal="left" vertical="center"/>
    </xf>
    <xf numFmtId="37" fontId="3" fillId="0" borderId="0" xfId="0" applyNumberFormat="1" applyFont="1" applyAlignment="1">
      <alignment horizontal="left" vertical="center"/>
    </xf>
    <xf numFmtId="167" fontId="4" fillId="4" borderId="0" xfId="0" applyNumberFormat="1" applyFont="1" applyFill="1" applyAlignment="1">
      <alignment vertical="center"/>
    </xf>
    <xf numFmtId="37" fontId="4" fillId="4" borderId="0" xfId="0" applyNumberFormat="1" applyFont="1" applyFill="1" applyAlignment="1">
      <alignment vertical="center"/>
    </xf>
    <xf numFmtId="167" fontId="4" fillId="2" borderId="0" xfId="0" quotePrefix="1" applyNumberFormat="1" applyFont="1" applyFill="1" applyAlignment="1">
      <alignment vertical="center"/>
    </xf>
    <xf numFmtId="167" fontId="4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vertical="center"/>
    </xf>
    <xf numFmtId="167" fontId="3" fillId="2" borderId="0" xfId="0" quotePrefix="1" applyNumberFormat="1" applyFont="1" applyFill="1" applyAlignment="1">
      <alignment vertical="center"/>
    </xf>
    <xf numFmtId="37" fontId="3" fillId="2" borderId="0" xfId="0" quotePrefix="1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quotePrefix="1" applyFont="1" applyFill="1" applyAlignment="1">
      <alignment vertical="center"/>
    </xf>
    <xf numFmtId="0" fontId="4" fillId="5" borderId="0" xfId="0" applyFont="1" applyFill="1" applyAlignment="1">
      <alignment horizontal="left" vertical="center"/>
    </xf>
    <xf numFmtId="37" fontId="4" fillId="5" borderId="0" xfId="0" applyNumberFormat="1" applyFont="1" applyFill="1" applyAlignment="1">
      <alignment vertical="center"/>
    </xf>
    <xf numFmtId="37" fontId="4" fillId="5" borderId="0" xfId="0" quotePrefix="1" applyNumberFormat="1" applyFont="1" applyFill="1" applyAlignment="1">
      <alignment vertical="center"/>
    </xf>
    <xf numFmtId="37" fontId="4" fillId="5" borderId="0" xfId="0" applyNumberFormat="1" applyFont="1" applyFill="1" applyAlignment="1">
      <alignment horizontal="left" vertical="center"/>
    </xf>
    <xf numFmtId="37" fontId="3" fillId="5" borderId="0" xfId="0" applyNumberFormat="1" applyFont="1" applyFill="1" applyAlignment="1">
      <alignment vertical="center"/>
    </xf>
    <xf numFmtId="37" fontId="3" fillId="5" borderId="0" xfId="0" applyNumberFormat="1" applyFont="1" applyFill="1" applyAlignment="1">
      <alignment horizontal="right" vertical="center"/>
    </xf>
    <xf numFmtId="38" fontId="4" fillId="5" borderId="0" xfId="0" applyNumberFormat="1" applyFont="1" applyFill="1" applyAlignment="1">
      <alignment vertical="center"/>
    </xf>
  </cellXfs>
  <cellStyles count="5">
    <cellStyle name="Comma" xfId="1" builtinId="3" customBuiltin="1"/>
    <cellStyle name="Comma 2" xfId="4" xr:uid="{00000000-0005-0000-0000-000001000000}"/>
    <cellStyle name="Currency" xfId="2" builtinId="4" customBuiltin="1"/>
    <cellStyle name="Normal" xfId="0" builtinId="0" customBuiltin="1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CCFFFF"/>
      <color rgb="FFCCFFCC"/>
      <color rgb="FF0000FF"/>
      <color rgb="FF0000CC"/>
      <color rgb="FF800080"/>
      <color rgb="FF990099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6"/>
  <sheetViews>
    <sheetView tabSelected="1" defaultGridColor="0" colorId="22" zoomScale="85" zoomScaleNormal="85" workbookViewId="0">
      <pane xSplit="4" ySplit="7" topLeftCell="E8" activePane="bottomRight" state="frozen"/>
      <selection activeCell="C26" sqref="C26"/>
      <selection pane="topRight" activeCell="C26" sqref="C26"/>
      <selection pane="bottomLeft" activeCell="C26" sqref="C26"/>
      <selection pane="bottomRight" activeCell="E10" sqref="E10:U10"/>
    </sheetView>
  </sheetViews>
  <sheetFormatPr defaultColWidth="9.109375" defaultRowHeight="13.2" x14ac:dyDescent="0.3"/>
  <cols>
    <col min="1" max="1" width="3.6640625" style="23" customWidth="1"/>
    <col min="2" max="2" width="14.6640625" style="23" bestFit="1" customWidth="1"/>
    <col min="3" max="3" width="7.44140625" style="23" customWidth="1"/>
    <col min="4" max="4" width="20.6640625" style="23" customWidth="1"/>
    <col min="5" max="5" width="9.77734375" style="23" customWidth="1"/>
    <col min="6" max="6" width="20.6640625" style="23" customWidth="1"/>
    <col min="7" max="7" width="11.33203125" style="23" customWidth="1"/>
    <col min="8" max="8" width="9.33203125" style="23" customWidth="1"/>
    <col min="9" max="9" width="15.109375" style="23" customWidth="1"/>
    <col min="10" max="10" width="8.44140625" style="23" customWidth="1"/>
    <col min="11" max="11" width="12.33203125" style="23" customWidth="1"/>
    <col min="12" max="12" width="9" style="23" customWidth="1"/>
    <col min="13" max="13" width="6.44140625" style="50" customWidth="1"/>
    <col min="14" max="14" width="10.77734375" style="25" customWidth="1"/>
    <col min="15" max="15" width="11.77734375" style="25" customWidth="1"/>
    <col min="16" max="16" width="10.77734375" style="25" customWidth="1"/>
    <col min="17" max="17" width="9.77734375" style="25" customWidth="1"/>
    <col min="18" max="18" width="11.77734375" style="25" customWidth="1"/>
    <col min="19" max="19" width="10.77734375" style="25" customWidth="1"/>
    <col min="20" max="20" width="11.77734375" style="25" customWidth="1"/>
    <col min="21" max="21" width="7.33203125" style="50" customWidth="1"/>
    <col min="22" max="22" width="13.77734375" style="25" customWidth="1"/>
    <col min="23" max="23" width="11.77734375" style="25" customWidth="1"/>
    <col min="24" max="24" width="22.33203125" style="25" customWidth="1"/>
    <col min="25" max="25" width="9.77734375" style="25" customWidth="1"/>
    <col min="26" max="26" width="11.77734375" style="25" customWidth="1"/>
    <col min="27" max="27" width="10.77734375" style="25" customWidth="1"/>
    <col min="28" max="28" width="11.77734375" style="7" customWidth="1"/>
    <col min="29" max="29" width="8.21875" style="54" customWidth="1"/>
    <col min="30" max="30" width="8.44140625" style="11" customWidth="1"/>
    <col min="31" max="31" width="8.44140625" style="7" customWidth="1"/>
    <col min="32" max="32" width="7.5546875" style="54" customWidth="1"/>
    <col min="33" max="34" width="8.44140625" style="7" customWidth="1"/>
    <col min="35" max="35" width="0.77734375" style="7" customWidth="1"/>
    <col min="36" max="36" width="8.44140625" style="23" customWidth="1"/>
    <col min="37" max="37" width="8.44140625" style="25" bestFit="1" customWidth="1"/>
    <col min="38" max="39" width="8.44140625" style="25" customWidth="1"/>
    <col min="40" max="40" width="6.21875" style="50" customWidth="1"/>
    <col min="41" max="41" width="14.88671875" style="29" customWidth="1"/>
    <col min="42" max="42" width="7.44140625" style="29" customWidth="1"/>
    <col min="43" max="43" width="9.6640625" style="29" customWidth="1"/>
    <col min="44" max="44" width="6.109375" style="23" customWidth="1"/>
    <col min="45" max="45" width="6.77734375" style="23" customWidth="1"/>
    <col min="46" max="46" width="11.77734375" style="25" bestFit="1" customWidth="1"/>
    <col min="47" max="47" width="11.77734375" style="25" customWidth="1"/>
    <col min="48" max="48" width="22.6640625" style="25" customWidth="1"/>
    <col min="49" max="49" width="11.77734375" style="25" bestFit="1" customWidth="1"/>
    <col min="50" max="50" width="16" style="25" customWidth="1"/>
    <col min="51" max="51" width="14.109375" style="23" customWidth="1"/>
    <col min="52" max="16384" width="9.109375" style="23"/>
  </cols>
  <sheetData>
    <row r="1" spans="1:60" ht="12" customHeight="1" x14ac:dyDescent="0.3">
      <c r="B1" s="1"/>
      <c r="C1" s="1"/>
      <c r="D1" s="1"/>
      <c r="E1" s="1"/>
      <c r="F1" s="1"/>
    </row>
    <row r="2" spans="1:60" x14ac:dyDescent="0.3">
      <c r="B2" s="1"/>
      <c r="C2" s="1"/>
      <c r="D2" s="1"/>
      <c r="E2" s="1"/>
      <c r="F2" s="1"/>
      <c r="M2" s="51"/>
      <c r="N2" s="30"/>
      <c r="O2" s="30"/>
      <c r="P2" s="30"/>
      <c r="Q2" s="30"/>
      <c r="R2" s="30"/>
      <c r="S2" s="30"/>
      <c r="T2" s="30"/>
      <c r="U2" s="51"/>
      <c r="V2" s="30"/>
      <c r="W2" s="30"/>
      <c r="X2" s="30"/>
      <c r="Y2" s="30"/>
    </row>
    <row r="3" spans="1:6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2"/>
      <c r="N3" s="3"/>
      <c r="O3" s="3"/>
      <c r="P3" s="3"/>
      <c r="Q3" s="3"/>
      <c r="R3" s="3"/>
      <c r="S3" s="3"/>
      <c r="T3" s="3"/>
      <c r="U3" s="52"/>
      <c r="V3" s="3"/>
      <c r="W3" s="3"/>
      <c r="X3" s="3"/>
      <c r="Y3" s="3"/>
      <c r="Z3" s="3"/>
      <c r="AA3" s="3"/>
      <c r="AB3" s="3"/>
      <c r="AC3" s="55"/>
      <c r="AD3" s="45"/>
      <c r="AE3" s="3"/>
      <c r="AF3" s="55"/>
      <c r="AG3" s="3"/>
      <c r="AH3" s="3"/>
      <c r="AI3" s="3"/>
      <c r="AJ3" s="3"/>
      <c r="AK3" s="4"/>
      <c r="AL3" s="4"/>
      <c r="AM3" s="4"/>
      <c r="AN3" s="59"/>
      <c r="AO3" s="5"/>
      <c r="AP3" s="5"/>
      <c r="AQ3" s="5"/>
      <c r="AR3" s="2"/>
      <c r="AS3" s="2"/>
      <c r="AT3" s="4" t="s">
        <v>50</v>
      </c>
      <c r="AU3" s="4" t="s">
        <v>51</v>
      </c>
      <c r="AV3" s="4"/>
      <c r="AW3" s="4" t="s">
        <v>51</v>
      </c>
      <c r="AX3" s="4"/>
      <c r="AY3" s="6"/>
      <c r="AZ3" s="1"/>
      <c r="BA3" s="1"/>
      <c r="BB3" s="1"/>
      <c r="BC3" s="1"/>
      <c r="BD3" s="1"/>
      <c r="BE3" s="1"/>
      <c r="BF3" s="1"/>
      <c r="BG3" s="1"/>
      <c r="BH3" s="1"/>
    </row>
    <row r="4" spans="1:60" s="15" customFormat="1" x14ac:dyDescent="0.3">
      <c r="F4" s="1"/>
      <c r="M4" s="53"/>
      <c r="N4" s="26" t="s">
        <v>82</v>
      </c>
      <c r="O4" s="26" t="s">
        <v>82</v>
      </c>
      <c r="P4" s="26" t="s">
        <v>36</v>
      </c>
      <c r="Q4" s="26"/>
      <c r="R4" s="26" t="s">
        <v>82</v>
      </c>
      <c r="S4" s="26" t="s">
        <v>82</v>
      </c>
      <c r="T4" s="26" t="s">
        <v>82</v>
      </c>
      <c r="U4" s="53"/>
      <c r="V4" s="26" t="s">
        <v>33</v>
      </c>
      <c r="W4" s="26" t="s">
        <v>33</v>
      </c>
      <c r="X4" s="26" t="s">
        <v>36</v>
      </c>
      <c r="Y4" s="26"/>
      <c r="Z4" s="26" t="s">
        <v>33</v>
      </c>
      <c r="AA4" s="26" t="s">
        <v>33</v>
      </c>
      <c r="AB4" s="26" t="s">
        <v>33</v>
      </c>
      <c r="AC4" s="56"/>
      <c r="AD4" s="46" t="s">
        <v>92</v>
      </c>
      <c r="AE4" s="26"/>
      <c r="AF4" s="56"/>
      <c r="AG4" s="41" t="s">
        <v>86</v>
      </c>
      <c r="AH4" s="41"/>
      <c r="AI4" s="26"/>
      <c r="AJ4" s="7"/>
      <c r="AK4" s="7"/>
      <c r="AL4" s="7"/>
      <c r="AM4" s="7"/>
      <c r="AN4" s="59"/>
      <c r="AO4" s="8"/>
      <c r="AP4" s="8"/>
      <c r="AQ4" s="8"/>
      <c r="AR4" s="9"/>
      <c r="AS4" s="9"/>
      <c r="AT4" s="7" t="s">
        <v>87</v>
      </c>
      <c r="AU4" s="7" t="s">
        <v>15</v>
      </c>
      <c r="AV4" s="7" t="s">
        <v>15</v>
      </c>
      <c r="AW4" s="40" t="s">
        <v>88</v>
      </c>
      <c r="AX4" s="40" t="s">
        <v>88</v>
      </c>
      <c r="AY4" s="10"/>
      <c r="AZ4" s="1"/>
      <c r="BA4" s="1"/>
      <c r="BB4" s="1"/>
      <c r="BC4" s="1"/>
      <c r="BD4" s="1"/>
      <c r="BE4" s="1"/>
      <c r="BF4" s="1"/>
      <c r="BG4" s="1"/>
      <c r="BH4" s="1"/>
    </row>
    <row r="5" spans="1:60" s="15" customFormat="1" ht="12" customHeight="1" x14ac:dyDescent="0.3">
      <c r="B5" s="9"/>
      <c r="C5" s="1" t="s">
        <v>14</v>
      </c>
      <c r="D5" s="1" t="s">
        <v>15</v>
      </c>
      <c r="E5" s="1" t="s">
        <v>15</v>
      </c>
      <c r="F5" s="1"/>
      <c r="H5" s="15" t="s">
        <v>73</v>
      </c>
      <c r="I5" s="15" t="s">
        <v>41</v>
      </c>
      <c r="K5" s="15" t="s">
        <v>24</v>
      </c>
      <c r="L5" s="15" t="s">
        <v>27</v>
      </c>
      <c r="M5" s="53"/>
      <c r="N5" s="26" t="s">
        <v>43</v>
      </c>
      <c r="O5" s="26" t="s">
        <v>43</v>
      </c>
      <c r="P5" s="26" t="s">
        <v>37</v>
      </c>
      <c r="Q5" s="26" t="s">
        <v>38</v>
      </c>
      <c r="R5" s="26" t="s">
        <v>70</v>
      </c>
      <c r="S5" s="26" t="s">
        <v>40</v>
      </c>
      <c r="T5" s="26" t="s">
        <v>44</v>
      </c>
      <c r="U5" s="53"/>
      <c r="V5" s="26" t="s">
        <v>43</v>
      </c>
      <c r="W5" s="26" t="s">
        <v>43</v>
      </c>
      <c r="X5" s="26" t="s">
        <v>37</v>
      </c>
      <c r="Y5" s="26" t="s">
        <v>38</v>
      </c>
      <c r="Z5" s="26" t="s">
        <v>70</v>
      </c>
      <c r="AA5" s="26" t="s">
        <v>40</v>
      </c>
      <c r="AB5" s="26" t="s">
        <v>44</v>
      </c>
      <c r="AC5" s="56"/>
      <c r="AD5" s="43" t="s">
        <v>18</v>
      </c>
      <c r="AE5" s="44" t="s">
        <v>52</v>
      </c>
      <c r="AF5" s="56"/>
      <c r="AG5" s="39" t="s">
        <v>18</v>
      </c>
      <c r="AH5" s="40" t="s">
        <v>52</v>
      </c>
      <c r="AI5" s="26"/>
      <c r="AJ5" s="11" t="s">
        <v>18</v>
      </c>
      <c r="AK5" s="7" t="s">
        <v>52</v>
      </c>
      <c r="AL5" s="7" t="s">
        <v>52</v>
      </c>
      <c r="AM5" s="7" t="s">
        <v>53</v>
      </c>
      <c r="AN5" s="59"/>
      <c r="AO5" s="8" t="s">
        <v>54</v>
      </c>
      <c r="AP5" s="8" t="s">
        <v>54</v>
      </c>
      <c r="AQ5" s="8" t="s">
        <v>13</v>
      </c>
      <c r="AR5" s="1" t="s">
        <v>55</v>
      </c>
      <c r="AS5" s="1" t="s">
        <v>56</v>
      </c>
      <c r="AT5" s="7" t="s">
        <v>56</v>
      </c>
      <c r="AU5" s="7" t="s">
        <v>56</v>
      </c>
      <c r="AV5" s="7" t="s">
        <v>56</v>
      </c>
      <c r="AW5" s="40" t="s">
        <v>56</v>
      </c>
      <c r="AX5" s="40" t="s">
        <v>56</v>
      </c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s="15" customFormat="1" ht="12" customHeight="1" x14ac:dyDescent="0.3">
      <c r="B6" s="1" t="s">
        <v>16</v>
      </c>
      <c r="C6" s="1" t="s">
        <v>18</v>
      </c>
      <c r="D6" s="1" t="s">
        <v>19</v>
      </c>
      <c r="E6" s="1" t="s">
        <v>20</v>
      </c>
      <c r="F6" s="15" t="s">
        <v>21</v>
      </c>
      <c r="G6" s="15" t="s">
        <v>22</v>
      </c>
      <c r="H6" s="15" t="s">
        <v>74</v>
      </c>
      <c r="I6" s="15" t="s">
        <v>42</v>
      </c>
      <c r="J6" s="15" t="s">
        <v>23</v>
      </c>
      <c r="K6" s="15" t="s">
        <v>25</v>
      </c>
      <c r="L6" s="15" t="s">
        <v>26</v>
      </c>
      <c r="M6" s="53"/>
      <c r="N6" s="26" t="s">
        <v>32</v>
      </c>
      <c r="O6" s="26" t="s">
        <v>34</v>
      </c>
      <c r="P6" s="26" t="s">
        <v>12</v>
      </c>
      <c r="Q6" s="26" t="s">
        <v>35</v>
      </c>
      <c r="R6" s="26"/>
      <c r="S6" s="26" t="s">
        <v>39</v>
      </c>
      <c r="T6" s="26" t="s">
        <v>44</v>
      </c>
      <c r="U6" s="53"/>
      <c r="V6" s="26" t="s">
        <v>32</v>
      </c>
      <c r="W6" s="26" t="s">
        <v>34</v>
      </c>
      <c r="X6" s="26" t="s">
        <v>12</v>
      </c>
      <c r="Y6" s="26" t="s">
        <v>35</v>
      </c>
      <c r="Z6" s="26"/>
      <c r="AA6" s="26" t="s">
        <v>39</v>
      </c>
      <c r="AB6" s="26"/>
      <c r="AC6" s="56"/>
      <c r="AD6" s="43" t="s">
        <v>58</v>
      </c>
      <c r="AE6" s="44" t="s">
        <v>60</v>
      </c>
      <c r="AF6" s="56"/>
      <c r="AG6" s="39" t="s">
        <v>58</v>
      </c>
      <c r="AH6" s="40" t="s">
        <v>60</v>
      </c>
      <c r="AI6" s="26"/>
      <c r="AJ6" s="11" t="s">
        <v>58</v>
      </c>
      <c r="AK6" s="7" t="s">
        <v>59</v>
      </c>
      <c r="AL6" s="7" t="s">
        <v>60</v>
      </c>
      <c r="AM6" s="7" t="s">
        <v>60</v>
      </c>
      <c r="AN6" s="59"/>
      <c r="AO6" s="8" t="s">
        <v>61</v>
      </c>
      <c r="AP6" s="8" t="s">
        <v>62</v>
      </c>
      <c r="AQ6" s="8" t="s">
        <v>63</v>
      </c>
      <c r="AR6" s="1" t="s">
        <v>57</v>
      </c>
      <c r="AS6" s="1" t="s">
        <v>17</v>
      </c>
      <c r="AT6" s="7" t="s">
        <v>64</v>
      </c>
      <c r="AU6" s="7" t="s">
        <v>64</v>
      </c>
      <c r="AV6" s="7" t="s">
        <v>89</v>
      </c>
      <c r="AW6" s="40" t="s">
        <v>64</v>
      </c>
      <c r="AX6" s="40" t="s">
        <v>89</v>
      </c>
      <c r="AY6" s="9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52"/>
      <c r="N7" s="3"/>
      <c r="O7" s="3"/>
      <c r="P7" s="3"/>
      <c r="Q7" s="3"/>
      <c r="R7" s="3"/>
      <c r="S7" s="3"/>
      <c r="T7" s="3"/>
      <c r="U7" s="52"/>
      <c r="V7" s="3"/>
      <c r="W7" s="3"/>
      <c r="X7" s="3"/>
      <c r="Y7" s="3"/>
      <c r="Z7" s="3"/>
      <c r="AA7" s="3"/>
      <c r="AB7" s="3"/>
      <c r="AC7" s="55"/>
      <c r="AD7" s="45"/>
      <c r="AE7" s="3"/>
      <c r="AF7" s="55"/>
      <c r="AG7" s="3"/>
      <c r="AH7" s="3"/>
      <c r="AI7" s="3"/>
      <c r="AJ7" s="12"/>
      <c r="AK7" s="4"/>
      <c r="AL7" s="4"/>
      <c r="AM7" s="4"/>
      <c r="AN7" s="59"/>
      <c r="AO7" s="5"/>
      <c r="AP7" s="13"/>
      <c r="AQ7" s="13"/>
      <c r="AR7" s="2"/>
      <c r="AS7" s="2"/>
      <c r="AT7" s="3"/>
      <c r="AU7" s="3"/>
      <c r="AV7" s="3"/>
      <c r="AW7" s="3"/>
      <c r="AX7" s="3"/>
      <c r="AY7" s="6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3">
      <c r="G8" s="18"/>
      <c r="H8" s="18"/>
      <c r="I8" s="15"/>
      <c r="J8" s="18"/>
      <c r="K8" s="16"/>
      <c r="L8" s="17"/>
      <c r="V8" s="31"/>
      <c r="W8" s="31"/>
      <c r="Z8" s="25">
        <f t="shared" ref="Z8" si="0">SUM(V8:Y8)</f>
        <v>0</v>
      </c>
      <c r="AB8" s="25">
        <f t="shared" ref="AB8:AB18" si="1">SUM(V8:Y8)+SUM(AA8)</f>
        <v>0</v>
      </c>
      <c r="AC8" s="57"/>
      <c r="AD8" s="47"/>
      <c r="AE8" s="25"/>
      <c r="AF8" s="57"/>
      <c r="AG8" s="25"/>
      <c r="AH8" s="25"/>
      <c r="AI8" s="25"/>
    </row>
    <row r="9" spans="1:60" x14ac:dyDescent="0.3">
      <c r="B9" s="1" t="s">
        <v>4</v>
      </c>
      <c r="E9" s="23" t="s">
        <v>93</v>
      </c>
      <c r="F9" s="23" t="s">
        <v>81</v>
      </c>
      <c r="G9" s="18" t="s">
        <v>3</v>
      </c>
      <c r="H9" s="18">
        <v>6761</v>
      </c>
      <c r="I9" s="18" t="s">
        <v>0</v>
      </c>
      <c r="J9" s="18" t="s">
        <v>11</v>
      </c>
      <c r="K9" s="19">
        <v>0.97</v>
      </c>
      <c r="L9" s="20">
        <v>614000</v>
      </c>
      <c r="V9" s="32">
        <v>48072813</v>
      </c>
      <c r="W9" s="32">
        <v>185082542</v>
      </c>
      <c r="X9" s="25">
        <f>148177+9024946+7969150</f>
        <v>17142273</v>
      </c>
      <c r="Y9" s="25">
        <v>2871150</v>
      </c>
      <c r="Z9" s="25">
        <f>SUM(V9:Y9)</f>
        <v>253168778</v>
      </c>
      <c r="AA9" s="25">
        <v>51612758</v>
      </c>
      <c r="AB9" s="25">
        <f t="shared" si="1"/>
        <v>304781536</v>
      </c>
      <c r="AC9" s="57"/>
      <c r="AD9" s="47"/>
      <c r="AE9" s="25"/>
      <c r="AF9" s="57"/>
      <c r="AG9" s="25"/>
      <c r="AH9" s="25"/>
      <c r="AI9" s="25"/>
    </row>
    <row r="10" spans="1:60" x14ac:dyDescent="0.3">
      <c r="B10" s="1"/>
      <c r="G10" s="18"/>
      <c r="H10" s="18"/>
      <c r="I10" s="18"/>
      <c r="J10" s="18"/>
      <c r="K10" s="16"/>
      <c r="L10" s="17"/>
      <c r="V10" s="32"/>
      <c r="W10" s="32"/>
      <c r="Z10" s="25">
        <f t="shared" ref="Z10:Z18" si="2">SUM(V10:Y10)</f>
        <v>0</v>
      </c>
      <c r="AB10" s="25">
        <f t="shared" si="1"/>
        <v>0</v>
      </c>
      <c r="AC10" s="57"/>
      <c r="AD10" s="47"/>
      <c r="AE10" s="25"/>
      <c r="AF10" s="57"/>
      <c r="AG10" s="25"/>
      <c r="AH10" s="25"/>
      <c r="AI10" s="25"/>
    </row>
    <row r="11" spans="1:60" ht="26.4" x14ac:dyDescent="0.3">
      <c r="B11" s="1" t="s">
        <v>2</v>
      </c>
      <c r="E11" s="23" t="s">
        <v>94</v>
      </c>
      <c r="F11" s="24" t="s">
        <v>80</v>
      </c>
      <c r="G11" s="18" t="s">
        <v>1</v>
      </c>
      <c r="H11" s="18">
        <v>72100</v>
      </c>
      <c r="I11" s="18" t="s">
        <v>0</v>
      </c>
      <c r="J11" s="18" t="s">
        <v>11</v>
      </c>
      <c r="K11" s="19">
        <v>0.95</v>
      </c>
      <c r="L11" s="20">
        <v>355000</v>
      </c>
      <c r="V11" s="32">
        <v>20377408</v>
      </c>
      <c r="W11" s="32">
        <v>335896</v>
      </c>
      <c r="X11" s="25">
        <f>1939510+6497398+3908266</f>
        <v>12345174</v>
      </c>
      <c r="Y11" s="25">
        <f>1772804+9772</f>
        <v>1782576</v>
      </c>
      <c r="Z11" s="25">
        <f t="shared" si="2"/>
        <v>34841054</v>
      </c>
      <c r="AA11" s="25">
        <v>33355964</v>
      </c>
      <c r="AB11" s="25">
        <f t="shared" si="1"/>
        <v>68197018</v>
      </c>
      <c r="AC11" s="57"/>
      <c r="AD11" s="47"/>
      <c r="AE11" s="25"/>
      <c r="AF11" s="57"/>
      <c r="AG11" s="25"/>
      <c r="AH11" s="25"/>
      <c r="AI11" s="25"/>
    </row>
    <row r="12" spans="1:60" x14ac:dyDescent="0.3">
      <c r="B12" s="1"/>
      <c r="G12" s="18"/>
      <c r="H12" s="18"/>
      <c r="I12" s="18"/>
      <c r="J12" s="18"/>
      <c r="K12" s="19"/>
      <c r="L12" s="20"/>
      <c r="V12" s="32"/>
      <c r="W12" s="32"/>
      <c r="Z12" s="25">
        <f t="shared" si="2"/>
        <v>0</v>
      </c>
      <c r="AB12" s="25">
        <f t="shared" si="1"/>
        <v>0</v>
      </c>
      <c r="AC12" s="57"/>
      <c r="AD12" s="47"/>
      <c r="AE12" s="25"/>
      <c r="AF12" s="57"/>
      <c r="AG12" s="25"/>
      <c r="AH12" s="25"/>
      <c r="AI12" s="25"/>
    </row>
    <row r="13" spans="1:60" x14ac:dyDescent="0.3">
      <c r="B13" s="1" t="s">
        <v>8</v>
      </c>
      <c r="E13" s="23" t="s">
        <v>95</v>
      </c>
      <c r="F13" s="23" t="s">
        <v>77</v>
      </c>
      <c r="G13" s="18" t="s">
        <v>78</v>
      </c>
      <c r="H13" s="18" t="s">
        <v>79</v>
      </c>
      <c r="I13" s="18" t="s">
        <v>7</v>
      </c>
      <c r="J13" s="18" t="s">
        <v>11</v>
      </c>
      <c r="K13" s="19">
        <v>1</v>
      </c>
      <c r="L13" s="20">
        <v>26000</v>
      </c>
      <c r="V13" s="32">
        <v>0</v>
      </c>
      <c r="W13" s="32">
        <v>0</v>
      </c>
      <c r="X13" s="25">
        <v>1761007</v>
      </c>
      <c r="Y13" s="25">
        <v>81488</v>
      </c>
      <c r="Z13" s="25">
        <f t="shared" si="2"/>
        <v>1842495</v>
      </c>
      <c r="AB13" s="25">
        <f t="shared" si="1"/>
        <v>1842495</v>
      </c>
      <c r="AC13" s="57"/>
      <c r="AD13" s="47"/>
      <c r="AE13" s="25"/>
      <c r="AF13" s="57"/>
      <c r="AG13" s="25"/>
      <c r="AH13" s="25"/>
      <c r="AI13" s="25"/>
    </row>
    <row r="14" spans="1:60" x14ac:dyDescent="0.3">
      <c r="B14" s="1"/>
      <c r="G14" s="18"/>
      <c r="H14" s="18"/>
      <c r="I14" s="18"/>
      <c r="J14" s="18"/>
      <c r="K14" s="19"/>
      <c r="L14" s="20"/>
      <c r="V14" s="32"/>
      <c r="W14" s="32"/>
      <c r="Z14" s="25">
        <f t="shared" si="2"/>
        <v>0</v>
      </c>
      <c r="AB14" s="25">
        <f t="shared" si="1"/>
        <v>0</v>
      </c>
      <c r="AC14" s="57"/>
      <c r="AD14" s="47"/>
      <c r="AE14" s="25"/>
      <c r="AF14" s="57"/>
      <c r="AG14" s="25"/>
      <c r="AH14" s="25"/>
      <c r="AI14" s="25"/>
    </row>
    <row r="15" spans="1:60" x14ac:dyDescent="0.3">
      <c r="B15" s="1" t="s">
        <v>6</v>
      </c>
      <c r="E15" s="23" t="s">
        <v>96</v>
      </c>
      <c r="F15" s="23" t="s">
        <v>72</v>
      </c>
      <c r="G15" s="18" t="s">
        <v>5</v>
      </c>
      <c r="H15" s="18" t="s">
        <v>76</v>
      </c>
      <c r="I15" s="18" t="s">
        <v>0</v>
      </c>
      <c r="J15" s="18" t="s">
        <v>10</v>
      </c>
      <c r="K15" s="19">
        <v>0.97</v>
      </c>
      <c r="L15" s="20">
        <v>382000</v>
      </c>
      <c r="V15" s="32">
        <v>37927105</v>
      </c>
      <c r="W15" s="32">
        <v>147193895</v>
      </c>
      <c r="X15" s="25">
        <f>4626959+3381083</f>
        <v>8008042</v>
      </c>
      <c r="Y15" s="25">
        <v>2481673</v>
      </c>
      <c r="Z15" s="25">
        <f t="shared" si="2"/>
        <v>195610715</v>
      </c>
      <c r="AA15" s="25">
        <v>13523239</v>
      </c>
      <c r="AB15" s="25">
        <f t="shared" si="1"/>
        <v>209133954</v>
      </c>
      <c r="AC15" s="57"/>
      <c r="AD15" s="47"/>
      <c r="AE15" s="25"/>
      <c r="AF15" s="57"/>
      <c r="AG15" s="25"/>
      <c r="AH15" s="25"/>
      <c r="AI15" s="25"/>
    </row>
    <row r="16" spans="1:60" x14ac:dyDescent="0.3">
      <c r="G16" s="18"/>
      <c r="H16" s="18"/>
      <c r="I16" s="18"/>
      <c r="J16" s="18"/>
      <c r="K16" s="21"/>
      <c r="L16" s="20"/>
      <c r="V16" s="32"/>
      <c r="W16" s="32"/>
      <c r="Z16" s="25">
        <f t="shared" si="2"/>
        <v>0</v>
      </c>
      <c r="AB16" s="25">
        <f t="shared" si="1"/>
        <v>0</v>
      </c>
      <c r="AC16" s="57"/>
      <c r="AD16" s="47"/>
      <c r="AE16" s="25"/>
      <c r="AF16" s="57"/>
      <c r="AG16" s="25"/>
      <c r="AH16" s="25"/>
      <c r="AI16" s="25"/>
    </row>
    <row r="17" spans="1:51" x14ac:dyDescent="0.3">
      <c r="B17" s="1" t="s">
        <v>75</v>
      </c>
      <c r="G17" s="18"/>
      <c r="H17" s="15"/>
      <c r="I17" s="18"/>
      <c r="J17" s="18"/>
      <c r="K17" s="21"/>
      <c r="L17" s="21"/>
      <c r="V17" s="31"/>
      <c r="W17" s="31"/>
      <c r="X17" s="7"/>
      <c r="Y17" s="7"/>
      <c r="Z17" s="25">
        <f t="shared" si="2"/>
        <v>0</v>
      </c>
      <c r="AA17" s="7"/>
      <c r="AB17" s="33" t="s">
        <v>71</v>
      </c>
      <c r="AC17" s="58"/>
      <c r="AD17" s="35"/>
      <c r="AE17" s="33"/>
      <c r="AF17" s="58"/>
      <c r="AG17" s="33"/>
      <c r="AH17" s="33"/>
      <c r="AI17" s="33"/>
    </row>
    <row r="18" spans="1:51" x14ac:dyDescent="0.3">
      <c r="Z18" s="25">
        <f t="shared" si="2"/>
        <v>0</v>
      </c>
      <c r="AB18" s="25">
        <f t="shared" si="1"/>
        <v>0</v>
      </c>
      <c r="AC18" s="57"/>
      <c r="AD18" s="47"/>
      <c r="AE18" s="25"/>
      <c r="AF18" s="57"/>
      <c r="AG18" s="25"/>
      <c r="AH18" s="25"/>
      <c r="AI18" s="25"/>
    </row>
    <row r="19" spans="1:5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2"/>
      <c r="N19" s="3"/>
      <c r="O19" s="3"/>
      <c r="P19" s="3"/>
      <c r="Q19" s="3"/>
      <c r="R19" s="3"/>
      <c r="S19" s="3"/>
      <c r="T19" s="3"/>
      <c r="U19" s="52"/>
      <c r="V19" s="3"/>
      <c r="W19" s="3"/>
      <c r="X19" s="3"/>
      <c r="Y19" s="3"/>
      <c r="Z19" s="3"/>
      <c r="AA19" s="3"/>
      <c r="AB19" s="3"/>
      <c r="AC19" s="55"/>
      <c r="AD19" s="45"/>
      <c r="AE19" s="3"/>
      <c r="AF19" s="55"/>
      <c r="AG19" s="3"/>
      <c r="AH19" s="3"/>
      <c r="AI19" s="3"/>
      <c r="AJ19" s="2"/>
      <c r="AK19" s="3"/>
      <c r="AL19" s="3"/>
      <c r="AM19" s="3"/>
      <c r="AN19" s="52"/>
      <c r="AO19" s="13"/>
      <c r="AP19" s="13"/>
      <c r="AQ19" s="13"/>
      <c r="AR19" s="2"/>
      <c r="AS19" s="2"/>
      <c r="AT19" s="3"/>
      <c r="AU19" s="3"/>
      <c r="AV19" s="3"/>
      <c r="AW19" s="3"/>
      <c r="AX19" s="3"/>
      <c r="AY19" s="2"/>
    </row>
    <row r="20" spans="1:51" x14ac:dyDescent="0.3">
      <c r="A20" s="2"/>
      <c r="B20" s="2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52"/>
      <c r="N20" s="3"/>
      <c r="O20" s="3"/>
      <c r="P20" s="3"/>
      <c r="Q20" s="3"/>
      <c r="R20" s="3"/>
      <c r="S20" s="3"/>
      <c r="T20" s="3"/>
      <c r="U20" s="52"/>
      <c r="V20" s="3"/>
      <c r="W20" s="3"/>
      <c r="X20" s="3"/>
      <c r="Y20" s="3"/>
      <c r="Z20" s="3"/>
      <c r="AA20" s="3"/>
      <c r="AB20" s="3"/>
      <c r="AC20" s="55"/>
      <c r="AD20" s="45"/>
      <c r="AE20" s="3"/>
      <c r="AF20" s="55"/>
      <c r="AG20" s="3"/>
      <c r="AH20" s="3"/>
      <c r="AI20" s="3"/>
      <c r="AJ20" s="2"/>
      <c r="AK20" s="3"/>
      <c r="AL20" s="3"/>
      <c r="AM20" s="3"/>
      <c r="AN20" s="52"/>
      <c r="AO20" s="13"/>
      <c r="AP20" s="13"/>
      <c r="AQ20" s="13"/>
      <c r="AR20" s="2"/>
      <c r="AS20" s="2"/>
      <c r="AT20" s="3"/>
      <c r="AU20" s="3"/>
      <c r="AV20" s="3"/>
      <c r="AW20" s="3"/>
      <c r="AX20" s="3"/>
      <c r="AY20" s="2"/>
    </row>
    <row r="21" spans="1:51" x14ac:dyDescent="0.3">
      <c r="B21" s="1" t="s">
        <v>29</v>
      </c>
      <c r="C21" s="34">
        <v>1.3532500000000001</v>
      </c>
      <c r="D21" s="23" t="s">
        <v>83</v>
      </c>
      <c r="N21" s="25">
        <f>SUM(V21)/SUM($C21)</f>
        <v>35523970.441529647</v>
      </c>
      <c r="O21" s="25">
        <f>SUM(W21)/SUM($C21)</f>
        <v>136768920.74635136</v>
      </c>
      <c r="P21" s="25">
        <f>SUM(X21)/SUM($C21)</f>
        <v>12667484.204692407</v>
      </c>
      <c r="Q21" s="25">
        <f>SUM(Y21)/SUM($C21)</f>
        <v>2121670.0535747274</v>
      </c>
      <c r="R21" s="25">
        <f>SUM(N21:Q21)</f>
        <v>187082045.44614813</v>
      </c>
      <c r="S21" s="25">
        <f>SUM(AA21)/SUM($C21)</f>
        <v>38139854.424533531</v>
      </c>
      <c r="T21" s="25">
        <f>SUM(N21:Q21)+SUM(S21)</f>
        <v>225221899.87068164</v>
      </c>
      <c r="V21" s="25">
        <f>SUM(V7:V10)</f>
        <v>48072813</v>
      </c>
      <c r="W21" s="25">
        <f t="shared" ref="W21:AA21" si="3">SUM(W7:W10)</f>
        <v>185082542</v>
      </c>
      <c r="X21" s="25">
        <f t="shared" si="3"/>
        <v>17142273</v>
      </c>
      <c r="Y21" s="25">
        <f t="shared" si="3"/>
        <v>2871150</v>
      </c>
      <c r="Z21" s="25">
        <f t="shared" ref="Z21" si="4">SUM(Z7:Z10)</f>
        <v>253168778</v>
      </c>
      <c r="AA21" s="25">
        <f t="shared" si="3"/>
        <v>51612758</v>
      </c>
      <c r="AB21" s="25">
        <f>SUM(V21:Y21)+SUM(AA21)</f>
        <v>304781536</v>
      </c>
      <c r="AD21" s="47">
        <f>+AE21/AB21</f>
        <v>9.3113980467844539E-4</v>
      </c>
      <c r="AE21" s="25">
        <f>+AH21+AL21</f>
        <v>283794.21990063658</v>
      </c>
      <c r="AG21" s="35">
        <v>2.5000000000000001E-4</v>
      </c>
      <c r="AH21" s="25">
        <f>SUM(AB21)*SUM(AG21)</f>
        <v>76195.384000000005</v>
      </c>
      <c r="AJ21" s="35">
        <f>(399000-2500)/(583955003-1842495)</f>
        <v>6.8113980467844539E-4</v>
      </c>
      <c r="AK21" s="33">
        <f>SUM(T21)*SUM(AJ21)</f>
        <v>153407.60088722449</v>
      </c>
      <c r="AL21" s="33">
        <f>SUM(AB21)*SUM(AJ21)</f>
        <v>207598.83590063656</v>
      </c>
      <c r="AM21" s="33">
        <f>SUM(AL21)*SUM(AO21)</f>
        <v>207598.83590063656</v>
      </c>
      <c r="AO21" s="36">
        <v>1</v>
      </c>
      <c r="AP21" s="37">
        <v>0.125</v>
      </c>
      <c r="AQ21" s="37" t="s">
        <v>66</v>
      </c>
      <c r="AR21" s="23" t="s">
        <v>67</v>
      </c>
      <c r="AS21" s="23" t="s">
        <v>68</v>
      </c>
      <c r="AT21" s="33">
        <f>SUM(AU21)/SUM(C21)</f>
        <v>147792351.74579716</v>
      </c>
      <c r="AU21" s="33">
        <f>IF((SUM(AB21)&gt;200000000),200000000,SUM(AB21))</f>
        <v>200000000</v>
      </c>
      <c r="AV21" s="42" t="s">
        <v>90</v>
      </c>
      <c r="AW21" s="23"/>
      <c r="AX21" s="33" t="s">
        <v>91</v>
      </c>
    </row>
    <row r="22" spans="1:51" x14ac:dyDescent="0.3">
      <c r="B22" s="1" t="s">
        <v>28</v>
      </c>
      <c r="C22" s="34">
        <v>1</v>
      </c>
      <c r="D22" s="23" t="s">
        <v>65</v>
      </c>
      <c r="T22" s="33" t="s">
        <v>65</v>
      </c>
      <c r="V22" s="25">
        <f>SUM(V10:V12)</f>
        <v>20377408</v>
      </c>
      <c r="W22" s="25">
        <f t="shared" ref="W22:AA22" si="5">SUM(W10:W12)</f>
        <v>335896</v>
      </c>
      <c r="X22" s="25">
        <f t="shared" si="5"/>
        <v>12345174</v>
      </c>
      <c r="Y22" s="25">
        <f t="shared" si="5"/>
        <v>1782576</v>
      </c>
      <c r="Z22" s="25">
        <f t="shared" ref="Z22" si="6">SUM(Z10:Z12)</f>
        <v>34841054</v>
      </c>
      <c r="AA22" s="25">
        <f t="shared" si="5"/>
        <v>33355964</v>
      </c>
      <c r="AB22" s="25">
        <f t="shared" ref="AB22:AB24" si="7">SUM(V22:Y22)+SUM(AA22)</f>
        <v>68197018</v>
      </c>
      <c r="AD22" s="47">
        <f t="shared" ref="AD22:AD24" si="8">+AE22/AB22</f>
        <v>9.1113980467844534E-4</v>
      </c>
      <c r="AE22" s="25">
        <f t="shared" ref="AE22:AE24" si="9">+AH22+AL22</f>
        <v>62137.017660172423</v>
      </c>
      <c r="AG22" s="35">
        <v>2.3000000000000001E-4</v>
      </c>
      <c r="AH22" s="25">
        <f>SUM(AB22)*SUM(AG22)</f>
        <v>15685.31414</v>
      </c>
      <c r="AJ22" s="35">
        <f>(399000-2500)/(583955003-1842495)</f>
        <v>6.8113980467844539E-4</v>
      </c>
      <c r="AK22" s="33" t="s">
        <v>65</v>
      </c>
      <c r="AL22" s="33">
        <f>SUM(AB22)*SUM(AJ22)</f>
        <v>46451.703520172421</v>
      </c>
      <c r="AM22" s="33">
        <f t="shared" ref="AM22:AM24" si="10">SUM(AL22)*SUM(AO22)</f>
        <v>46451.703520172421</v>
      </c>
      <c r="AO22" s="36">
        <v>1</v>
      </c>
      <c r="AP22" s="37">
        <v>0.125</v>
      </c>
      <c r="AQ22" s="37" t="s">
        <v>66</v>
      </c>
      <c r="AR22" s="23" t="s">
        <v>67</v>
      </c>
      <c r="AS22" s="23" t="s">
        <v>68</v>
      </c>
      <c r="AT22" s="33" t="s">
        <v>65</v>
      </c>
      <c r="AU22" s="33">
        <f t="shared" ref="AU22:AU24" si="11">IF((SUM(AB22)&gt;200000000),200000000,SUM(AB22))</f>
        <v>68197018</v>
      </c>
      <c r="AV22" s="42" t="s">
        <v>90</v>
      </c>
      <c r="AW22" s="23"/>
      <c r="AX22" s="33" t="s">
        <v>91</v>
      </c>
    </row>
    <row r="23" spans="1:51" x14ac:dyDescent="0.3">
      <c r="B23" s="1" t="s">
        <v>31</v>
      </c>
      <c r="C23" s="34">
        <v>1.3532500000000001</v>
      </c>
      <c r="D23" s="23" t="s">
        <v>83</v>
      </c>
      <c r="N23" s="25">
        <f>SUM(V23)/SUM($C23)</f>
        <v>0</v>
      </c>
      <c r="O23" s="25">
        <f>SUM(W23)/SUM($C23)</f>
        <v>0</v>
      </c>
      <c r="P23" s="25">
        <f>SUM(X23)/SUM($C23)</f>
        <v>1301316.8298540551</v>
      </c>
      <c r="Q23" s="25">
        <f>SUM(Y23)/SUM($C23)</f>
        <v>60216.51579530759</v>
      </c>
      <c r="R23" s="25">
        <f>SUM(N23:Q23)</f>
        <v>1361533.3456493628</v>
      </c>
      <c r="S23" s="25">
        <f>SUM(AA23)/SUM($C23)</f>
        <v>0</v>
      </c>
      <c r="T23" s="25">
        <f>SUM(N23:Q23)+SUM(S23)</f>
        <v>1361533.3456493628</v>
      </c>
      <c r="V23" s="25">
        <f>SUM(V12:V14)</f>
        <v>0</v>
      </c>
      <c r="W23" s="25">
        <f t="shared" ref="W23:AA23" si="12">SUM(W12:W14)</f>
        <v>0</v>
      </c>
      <c r="X23" s="25">
        <f t="shared" si="12"/>
        <v>1761007</v>
      </c>
      <c r="Y23" s="25">
        <f t="shared" si="12"/>
        <v>81488</v>
      </c>
      <c r="Z23" s="25">
        <f t="shared" ref="Z23" si="13">SUM(Z12:Z14)</f>
        <v>1842495</v>
      </c>
      <c r="AA23" s="25">
        <f t="shared" si="12"/>
        <v>0</v>
      </c>
      <c r="AB23" s="25">
        <f t="shared" si="7"/>
        <v>1842495</v>
      </c>
      <c r="AD23" s="47">
        <f t="shared" si="8"/>
        <v>1.6068557852260115E-3</v>
      </c>
      <c r="AE23" s="25">
        <f t="shared" si="9"/>
        <v>2960.6237500000002</v>
      </c>
      <c r="AG23" s="35">
        <v>2.5000000000000001E-4</v>
      </c>
      <c r="AH23" s="25">
        <f>SUM(AB23)*SUM(AG23)</f>
        <v>460.62375000000003</v>
      </c>
      <c r="AJ23" s="35">
        <f>2500/1842495</f>
        <v>1.3568557852260115E-3</v>
      </c>
      <c r="AK23" s="33">
        <f>SUM(T23)*SUM(AJ23)</f>
        <v>1847.4043968224646</v>
      </c>
      <c r="AL23" s="33">
        <f>SUM(AB23)*SUM(AJ23)</f>
        <v>2500</v>
      </c>
      <c r="AM23" s="33">
        <f t="shared" si="10"/>
        <v>2500</v>
      </c>
      <c r="AO23" s="36">
        <v>1</v>
      </c>
      <c r="AP23" s="37">
        <v>0.125</v>
      </c>
      <c r="AQ23" s="37" t="s">
        <v>66</v>
      </c>
      <c r="AR23" s="23" t="s">
        <v>67</v>
      </c>
      <c r="AS23" s="23" t="s">
        <v>68</v>
      </c>
      <c r="AT23" s="33">
        <f>SUM(AU23)/SUM(C23)</f>
        <v>1361533.3456493625</v>
      </c>
      <c r="AU23" s="33">
        <f t="shared" si="11"/>
        <v>1842495</v>
      </c>
      <c r="AV23" s="42" t="s">
        <v>90</v>
      </c>
      <c r="AW23" s="23"/>
      <c r="AX23" s="33" t="s">
        <v>91</v>
      </c>
    </row>
    <row r="24" spans="1:51" x14ac:dyDescent="0.3">
      <c r="B24" s="1" t="s">
        <v>30</v>
      </c>
      <c r="C24" s="34">
        <v>1</v>
      </c>
      <c r="D24" s="23" t="s">
        <v>65</v>
      </c>
      <c r="T24" s="33" t="s">
        <v>65</v>
      </c>
      <c r="V24" s="25">
        <f t="shared" ref="V24:AA24" si="14">SUM(V14:V16)</f>
        <v>37927105</v>
      </c>
      <c r="W24" s="25">
        <f t="shared" si="14"/>
        <v>147193895</v>
      </c>
      <c r="X24" s="25">
        <f t="shared" si="14"/>
        <v>8008042</v>
      </c>
      <c r="Y24" s="25">
        <f t="shared" si="14"/>
        <v>2481673</v>
      </c>
      <c r="Z24" s="25">
        <f>SUM(Z14:Z16)</f>
        <v>195610715</v>
      </c>
      <c r="AA24" s="25">
        <f t="shared" si="14"/>
        <v>13523239</v>
      </c>
      <c r="AB24" s="25">
        <f t="shared" si="7"/>
        <v>209133954</v>
      </c>
      <c r="AD24" s="47">
        <f t="shared" si="8"/>
        <v>9.3113980467844539E-4</v>
      </c>
      <c r="AE24" s="25">
        <f t="shared" si="9"/>
        <v>194732.94907919099</v>
      </c>
      <c r="AG24" s="35">
        <v>2.5000000000000001E-4</v>
      </c>
      <c r="AH24" s="25">
        <f>SUM(AB24)*SUM(AG24)</f>
        <v>52283.488499999999</v>
      </c>
      <c r="AJ24" s="35">
        <f>(399000-2500)/(583955003-1842495)</f>
        <v>6.8113980467844539E-4</v>
      </c>
      <c r="AK24" s="33" t="s">
        <v>65</v>
      </c>
      <c r="AL24" s="33">
        <f>SUM(AB24)*SUM(AJ24)</f>
        <v>142449.46057919099</v>
      </c>
      <c r="AM24" s="33">
        <f t="shared" si="10"/>
        <v>142449.46057919099</v>
      </c>
      <c r="AO24" s="36">
        <v>1</v>
      </c>
      <c r="AP24" s="37">
        <v>0.125</v>
      </c>
      <c r="AQ24" s="37" t="s">
        <v>66</v>
      </c>
      <c r="AR24" s="23" t="s">
        <v>67</v>
      </c>
      <c r="AS24" s="23" t="s">
        <v>68</v>
      </c>
      <c r="AT24" s="33" t="s">
        <v>65</v>
      </c>
      <c r="AU24" s="33">
        <f t="shared" si="11"/>
        <v>200000000</v>
      </c>
      <c r="AV24" s="42" t="s">
        <v>90</v>
      </c>
      <c r="AW24" s="23"/>
      <c r="AX24" s="33" t="s">
        <v>91</v>
      </c>
    </row>
    <row r="25" spans="1:5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2"/>
      <c r="N25" s="3"/>
      <c r="O25" s="3"/>
      <c r="P25" s="3"/>
      <c r="Q25" s="3"/>
      <c r="R25" s="3"/>
      <c r="S25" s="3"/>
      <c r="T25" s="3"/>
      <c r="U25" s="52"/>
      <c r="V25" s="3"/>
      <c r="W25" s="3"/>
      <c r="X25" s="3"/>
      <c r="Y25" s="3"/>
      <c r="Z25" s="3"/>
      <c r="AA25" s="3"/>
      <c r="AB25" s="3"/>
      <c r="AC25" s="55"/>
      <c r="AD25" s="48"/>
      <c r="AE25" s="49"/>
      <c r="AF25" s="55"/>
      <c r="AG25" s="3"/>
      <c r="AH25" s="3"/>
      <c r="AI25" s="3"/>
      <c r="AJ25" s="27"/>
      <c r="AK25" s="28"/>
      <c r="AL25" s="28"/>
      <c r="AM25" s="28"/>
      <c r="AN25" s="52"/>
      <c r="AO25" s="14"/>
      <c r="AP25" s="14"/>
      <c r="AQ25" s="14"/>
      <c r="AR25" s="2"/>
      <c r="AS25" s="2"/>
      <c r="AT25" s="3"/>
      <c r="AU25" s="3"/>
      <c r="AV25" s="3"/>
      <c r="AW25" s="3"/>
      <c r="AX25" s="3"/>
      <c r="AY25" s="2"/>
    </row>
    <row r="26" spans="1:51" x14ac:dyDescent="0.3">
      <c r="B26" s="1" t="s">
        <v>45</v>
      </c>
      <c r="V26" s="25">
        <f t="shared" ref="V26:AB26" si="15">SUM(V7:V16)</f>
        <v>106377326</v>
      </c>
      <c r="W26" s="25">
        <f t="shared" si="15"/>
        <v>332612333</v>
      </c>
      <c r="X26" s="25">
        <f t="shared" si="15"/>
        <v>39256496</v>
      </c>
      <c r="Y26" s="25">
        <f t="shared" si="15"/>
        <v>7216887</v>
      </c>
      <c r="Z26" s="25">
        <f>SUM(Z7:Z16)</f>
        <v>485463042</v>
      </c>
      <c r="AA26" s="25">
        <f t="shared" si="15"/>
        <v>98491961</v>
      </c>
      <c r="AB26" s="7">
        <f t="shared" si="15"/>
        <v>583955003</v>
      </c>
      <c r="AD26" s="47"/>
      <c r="AE26" s="7">
        <f>+AH27+AL27</f>
        <v>543624.81039</v>
      </c>
      <c r="AJ26" s="38"/>
      <c r="AK26" s="33"/>
      <c r="AL26" s="33" t="s">
        <v>9</v>
      </c>
      <c r="AM26" s="33"/>
    </row>
    <row r="27" spans="1:51" x14ac:dyDescent="0.3">
      <c r="B27" s="1" t="s">
        <v>45</v>
      </c>
      <c r="V27" s="25">
        <f>SUM(V20:V25)</f>
        <v>106377326</v>
      </c>
      <c r="W27" s="25">
        <f t="shared" ref="W27:AA27" si="16">SUM(W20:W25)</f>
        <v>332612333</v>
      </c>
      <c r="X27" s="25">
        <f t="shared" si="16"/>
        <v>39256496</v>
      </c>
      <c r="Y27" s="25">
        <f t="shared" si="16"/>
        <v>7216887</v>
      </c>
      <c r="Z27" s="25">
        <f t="shared" ref="Z27" si="17">SUM(Z20:Z25)</f>
        <v>485463042</v>
      </c>
      <c r="AA27" s="25">
        <f t="shared" si="16"/>
        <v>98491961</v>
      </c>
      <c r="AB27" s="7">
        <f>SUM(AB20:AB25)</f>
        <v>583955003</v>
      </c>
      <c r="AD27" s="47"/>
      <c r="AE27" s="7">
        <f>SUM(AE20:AE25)</f>
        <v>543624.81039</v>
      </c>
      <c r="AH27" s="25">
        <f t="shared" ref="AH27" si="18">SUM(AH20:AH25)</f>
        <v>144624.81039</v>
      </c>
      <c r="AJ27" s="38"/>
      <c r="AK27" s="33"/>
      <c r="AL27" s="33">
        <f t="shared" ref="AL27:AM27" si="19">SUM(AL20:AL25)</f>
        <v>399000</v>
      </c>
      <c r="AM27" s="33">
        <f t="shared" si="19"/>
        <v>399000</v>
      </c>
      <c r="AW27" s="25">
        <v>200000000</v>
      </c>
    </row>
    <row r="28" spans="1:5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52"/>
      <c r="N28" s="3"/>
      <c r="O28" s="3"/>
      <c r="P28" s="3"/>
      <c r="Q28" s="3"/>
      <c r="R28" s="3"/>
      <c r="S28" s="3"/>
      <c r="T28" s="3"/>
      <c r="U28" s="52"/>
      <c r="V28" s="3"/>
      <c r="W28" s="3"/>
      <c r="X28" s="3"/>
      <c r="Y28" s="3"/>
      <c r="Z28" s="3"/>
      <c r="AA28" s="3"/>
      <c r="AB28" s="3"/>
      <c r="AC28" s="55"/>
      <c r="AD28" s="48"/>
      <c r="AE28" s="49"/>
      <c r="AF28" s="55"/>
      <c r="AG28" s="3"/>
      <c r="AH28" s="3"/>
      <c r="AI28" s="3"/>
      <c r="AJ28" s="27"/>
      <c r="AK28" s="28"/>
      <c r="AL28" s="28"/>
      <c r="AM28" s="28"/>
      <c r="AN28" s="52"/>
      <c r="AO28" s="13"/>
      <c r="AP28" s="13"/>
      <c r="AQ28" s="13"/>
      <c r="AR28" s="2"/>
      <c r="AS28" s="2"/>
      <c r="AT28" s="3"/>
      <c r="AU28" s="3"/>
      <c r="AV28" s="3"/>
      <c r="AW28" s="3"/>
      <c r="AX28" s="3"/>
      <c r="AY28" s="2"/>
    </row>
    <row r="29" spans="1:51" hidden="1" x14ac:dyDescent="0.3">
      <c r="B29" s="1" t="s">
        <v>46</v>
      </c>
      <c r="AJ29" s="38"/>
      <c r="AK29" s="33"/>
      <c r="AL29" s="33"/>
      <c r="AM29" s="33"/>
    </row>
    <row r="30" spans="1:51" hidden="1" x14ac:dyDescent="0.3">
      <c r="B30" s="1" t="s">
        <v>47</v>
      </c>
      <c r="T30" s="25" t="s">
        <v>9</v>
      </c>
    </row>
    <row r="31" spans="1:51" hidden="1" x14ac:dyDescent="0.3">
      <c r="B31" s="1" t="s">
        <v>48</v>
      </c>
    </row>
    <row r="32" spans="1:51" hidden="1" x14ac:dyDescent="0.3">
      <c r="B32" s="1" t="s">
        <v>49</v>
      </c>
    </row>
    <row r="33" spans="2:2" hidden="1" x14ac:dyDescent="0.3"/>
    <row r="34" spans="2:2" hidden="1" x14ac:dyDescent="0.3">
      <c r="B34" s="23" t="s">
        <v>84</v>
      </c>
    </row>
    <row r="35" spans="2:2" hidden="1" x14ac:dyDescent="0.3">
      <c r="B35" s="23" t="s">
        <v>85</v>
      </c>
    </row>
    <row r="36" spans="2:2" hidden="1" x14ac:dyDescent="0.3"/>
  </sheetData>
  <sortState xmlns:xlrd2="http://schemas.microsoft.com/office/spreadsheetml/2017/richdata2" ref="A27:V30">
    <sortCondition ref="B27:B30"/>
  </sortState>
  <printOptions horizontalCentered="1" gridLines="1"/>
  <pageMargins left="0.25" right="0.25" top="0.25" bottom="0" header="0.05" footer="0.75"/>
  <pageSetup scale="69" fitToWidth="2" orientation="landscape" r:id="rId1"/>
  <headerFooter>
    <oddFooter>&amp;C&amp;"Calibri Light,Bold"&amp;12
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 27 JAN2014</vt:lpstr>
      <vt:lpstr>empty</vt:lpstr>
      <vt:lpstr>'Rev 27 JAN2014'!Print_Area</vt:lpstr>
      <vt:lpstr>'Rev 27 JAN2014'!Print_Titles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SOV 2013; 3rd P sites included; PC notes incl</dc:title>
  <dc:creator>Kim Fina</dc:creator>
  <cp:keywords>Property Statement of Values;JINDAL</cp:keywords>
  <cp:lastModifiedBy>Illia Makarov</cp:lastModifiedBy>
  <cp:lastPrinted>2013-08-27T17:18:27Z</cp:lastPrinted>
  <dcterms:created xsi:type="dcterms:W3CDTF">2013-05-13T16:25:26Z</dcterms:created>
  <dcterms:modified xsi:type="dcterms:W3CDTF">2025-02-06T10:04:33Z</dcterms:modified>
</cp:coreProperties>
</file>