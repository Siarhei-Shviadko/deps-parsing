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llia_Makarov\WORK\DEPS\deps-root\deps-parsing\src\tests\data\excel\"/>
    </mc:Choice>
  </mc:AlternateContent>
  <xr:revisionPtr revIDLastSave="0" documentId="13_ncr:1_{928A4E7F-2A31-47B5-A3E5-BBF6B9EE29B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eport" sheetId="1" r:id="rId1"/>
    <sheet name="Claimants" sheetId="9" r:id="rId2"/>
    <sheet name="Sheet1" sheetId="8" state="hidden" r:id="rId3"/>
  </sheets>
  <externalReferences>
    <externalReference r:id="rId4"/>
  </externalReferences>
  <definedNames>
    <definedName name="__123Graph_F">'[1]CLAIM HIST'!#REF!</definedName>
    <definedName name="__123Graph_LBL_F">'[1]CLAIM HIST'!#REF!</definedName>
    <definedName name="_1__123Graph_ACHART_2">'[1]CLAIM HIST'!#REF!</definedName>
    <definedName name="_10__123Graph_LBL_BCHART_3">'[1]CLAIM HIST'!#REF!</definedName>
    <definedName name="_11__123Graph_LBL_FCHART_1">'[1]CLAIM HIST'!#REF!</definedName>
    <definedName name="_12__123Graph_LBL_FCHART_4">'[1]CLAIM HIST'!#REF!</definedName>
    <definedName name="_13__123Graph_XCHART_2">'[1]CLAIM HIST'!#REF!</definedName>
    <definedName name="_14__123Graph_XCHART_3">'[1]CLAIM HIST'!#REF!</definedName>
    <definedName name="_2__123Graph_ACHART_3">'[1]CLAIM HIST'!#REF!</definedName>
    <definedName name="_3__123Graph_BCHART_2">'[1]CLAIM HIST'!#REF!</definedName>
    <definedName name="_4__123Graph_BCHART_3">'[1]CLAIM HIST'!#REF!</definedName>
    <definedName name="_5__123Graph_FCHART_1">'[1]CLAIM HIST'!#REF!</definedName>
    <definedName name="_6__123Graph_FCHART_4">'[1]CLAIM HIST'!#REF!</definedName>
    <definedName name="_7__123Graph_LBL_ACHART_2">'[1]CLAIM HIST'!#REF!</definedName>
    <definedName name="_8__123Graph_LBL_ACHART_3">'[1]CLAIM HIST'!#REF!</definedName>
    <definedName name="_9__123Graph_LBL_BCHART_2">'[1]CLAIM HIST'!#REF!</definedName>
    <definedName name="_xlnm.Print_Area" localSheetId="0">Report!$A$1:$AA$42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1" l="1"/>
  <c r="K39" i="1"/>
  <c r="K38" i="1"/>
  <c r="K37" i="1"/>
  <c r="K36" i="1"/>
  <c r="K35" i="1"/>
  <c r="K34" i="1"/>
  <c r="K33" i="1"/>
  <c r="K32" i="1"/>
  <c r="K31" i="1"/>
  <c r="K30" i="1"/>
  <c r="K29" i="1"/>
  <c r="M41" i="1" l="1"/>
  <c r="U4" i="1"/>
  <c r="I41" i="1" l="1"/>
  <c r="E41" i="1"/>
  <c r="K41" i="1"/>
  <c r="G41" i="1"/>
  <c r="C41" i="1"/>
  <c r="P41" i="1" l="1"/>
  <c r="Y41" i="1" s="1"/>
  <c r="Y40" i="1"/>
  <c r="Y35" i="1"/>
  <c r="Y33" i="1"/>
  <c r="Y32" i="1"/>
  <c r="Y29" i="1"/>
  <c r="Y38" i="1"/>
  <c r="Y31" i="1"/>
  <c r="Y37" i="1"/>
  <c r="Y34" i="1"/>
  <c r="Y39" i="1"/>
  <c r="Y30" i="1"/>
  <c r="Y36" i="1"/>
</calcChain>
</file>

<file path=xl/sharedStrings.xml><?xml version="1.0" encoding="utf-8"?>
<sst xmlns="http://schemas.openxmlformats.org/spreadsheetml/2006/main" count="132" uniqueCount="118">
  <si>
    <t>ALLIED AGGREGATE REPORT</t>
  </si>
  <si>
    <t>PPO</t>
  </si>
  <si>
    <t>Client Number:</t>
  </si>
  <si>
    <t>Plan Year:</t>
  </si>
  <si>
    <t>03/01/20-02/28/21</t>
  </si>
  <si>
    <t># of Months:</t>
  </si>
  <si>
    <t>ADMINISTRATIVE TERMS</t>
  </si>
  <si>
    <t>AGGREGATE CONTRACT TERMS</t>
  </si>
  <si>
    <t>SPECIFIC CONTRACT TERMS</t>
  </si>
  <si>
    <t>Stop loss Carrier:</t>
  </si>
  <si>
    <t>Aggregate Contract:</t>
  </si>
  <si>
    <t>12/12</t>
  </si>
  <si>
    <t>Specific Contract:</t>
  </si>
  <si>
    <t>Paid</t>
  </si>
  <si>
    <t>Specific Level:</t>
  </si>
  <si>
    <t>Broker:</t>
  </si>
  <si>
    <t>Aggregate Factors:</t>
  </si>
  <si>
    <t>Rx Included in Spec:</t>
  </si>
  <si>
    <t>Yes</t>
  </si>
  <si>
    <t>Single:</t>
  </si>
  <si>
    <t>Single+Sp:</t>
  </si>
  <si>
    <t>Aggregating Specific:</t>
  </si>
  <si>
    <t>PPO:</t>
  </si>
  <si>
    <t>Family:</t>
  </si>
  <si>
    <t>Single+Ch:</t>
  </si>
  <si>
    <t>INDIVIDUAL SPECIFIC (LASERS)</t>
  </si>
  <si>
    <t>PBM:</t>
  </si>
  <si>
    <t>Minimum Attachment:</t>
  </si>
  <si>
    <t>Laser1/EE</t>
  </si>
  <si>
    <t>Laser2/Sp</t>
  </si>
  <si>
    <t>Account Executive:</t>
  </si>
  <si>
    <t>MZ</t>
  </si>
  <si>
    <t>Monthly Claims Cap:</t>
  </si>
  <si>
    <t>No</t>
  </si>
  <si>
    <t xml:space="preserve"> </t>
  </si>
  <si>
    <t>Account Manager:</t>
  </si>
  <si>
    <t>JP</t>
  </si>
  <si>
    <t>Coverage:</t>
  </si>
  <si>
    <t>M-Rx</t>
  </si>
  <si>
    <t>NOTES</t>
  </si>
  <si>
    <t>Pd clms o/s the contract include claims incurred prior to 3/1/2020.</t>
  </si>
  <si>
    <t/>
  </si>
  <si>
    <t>Pd claims o/s the contract include ineligible laser dollars.</t>
  </si>
  <si>
    <t>Laser 2 will be applied if COBRA is elected &amp; remains on plan.</t>
  </si>
  <si>
    <t>MONTH</t>
  </si>
  <si>
    <t># OF MEMBERS</t>
  </si>
  <si>
    <t>NET CLAIMS</t>
  </si>
  <si>
    <t>CUMULATIVE CLAIMS</t>
  </si>
  <si>
    <t>SAVINGS                (Attach Pt -  Claims)</t>
  </si>
  <si>
    <t>Single</t>
  </si>
  <si>
    <t>Ee+Sp</t>
  </si>
  <si>
    <t>Ee+Ch</t>
  </si>
  <si>
    <t>Family</t>
  </si>
  <si>
    <t>Total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</si>
  <si>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</si>
  <si>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</si>
  <si>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</si>
  <si>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</si>
  <si>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</si>
  <si>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</si>
  <si>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</si>
  <si>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</si>
  <si>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</si>
  <si>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</si>
  <si>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1/21</t>
  </si>
  <si>
    <t>2/21</t>
  </si>
  <si>
    <t>TOTAL</t>
  </si>
  <si>
    <t>1.</t>
  </si>
  <si>
    <t>2.</t>
  </si>
  <si>
    <t>THE XXXXE COMPANY</t>
  </si>
  <si>
    <t xml:space="preserve">A00000  </t>
  </si>
  <si>
    <t>thuutidort Benefits,</t>
  </si>
  <si>
    <t>ffgf.mlblgkfb Insurance Group</t>
  </si>
  <si>
    <t>IIII</t>
  </si>
  <si>
    <t>UUUUU-BBBBB</t>
  </si>
  <si>
    <t>Overview</t>
  </si>
  <si>
    <t># of members with claims above threshold:</t>
  </si>
  <si>
    <t>Total Plan Payment in claims above threshold:</t>
  </si>
  <si>
    <t>Total Plan Payment for claimants with claims above threshold:</t>
  </si>
  <si>
    <t>Total Plan Payment in claims:</t>
  </si>
  <si>
    <t>Details</t>
  </si>
  <si>
    <t>Relation To</t>
  </si>
  <si>
    <t>Member ID</t>
  </si>
  <si>
    <t>Medical Plan Code</t>
  </si>
  <si>
    <t>Member Name</t>
  </si>
  <si>
    <t>Medical Plan Payment</t>
  </si>
  <si>
    <t>Pharmacy Plan Payment</t>
  </si>
  <si>
    <t>Most Expensive Primary Diagnosis</t>
  </si>
  <si>
    <t>Total Charges</t>
  </si>
  <si>
    <t>Plan Payment</t>
  </si>
  <si>
    <t>Provider</t>
  </si>
  <si>
    <t>Most Recent</t>
  </si>
  <si>
    <t>Termination Date</t>
  </si>
  <si>
    <t>Predicted Resource Index - Local</t>
  </si>
  <si>
    <t>Predicted Cost Amount</t>
  </si>
  <si>
    <t>Employee</t>
  </si>
  <si>
    <t>Date of</t>
  </si>
  <si>
    <t>Service</t>
  </si>
  <si>
    <t>E</t>
  </si>
  <si>
    <t>0746872-e</t>
  </si>
  <si>
    <t>117557A1</t>
  </si>
  <si>
    <t>John Doe</t>
  </si>
  <si>
    <t>C79.31 - Secondary malignant neoplasm of brain</t>
  </si>
  <si>
    <t>MD ANDERSON CANCER CENT</t>
  </si>
  <si>
    <t>Z51.11 - Encounter for antineoplastic chemotherapy</t>
  </si>
  <si>
    <t>SUJIT PRABHU M.D.</t>
  </si>
  <si>
    <t>0747498-e</t>
  </si>
  <si>
    <t>TERRY PRATCHETT</t>
  </si>
  <si>
    <t>I37.1 - Nonrheumatic pulmonary valve insufficiency</t>
  </si>
  <si>
    <t>CHILDRENS HOSPITAL OF SAN ANTONIO</t>
  </si>
  <si>
    <t>Not Specified</t>
  </si>
  <si>
    <t>ELAP SERVICES LLC</t>
  </si>
  <si>
    <t>I36.1 - Nonrheumatic tricuspid (valve) insufficiency</t>
  </si>
  <si>
    <t>COLIN MATTHEW DONOVAN DO</t>
  </si>
  <si>
    <t>Medical</t>
  </si>
  <si>
    <t>Contract:</t>
  </si>
  <si>
    <t>03/01/19-02/28/19</t>
  </si>
  <si>
    <t>UUU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</si>
</sst>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_(&quot;$&quot;* #,##0_);_(&quot;$&quot;* \(#,##0\);_(&quot;$&quot;* &quot;-&quot;??_);_(@_)"/>
    <numFmt numFmtId="167" formatCode="_(* #,##0_);_(* \(#,##0\);_(* &quot;-&quot;??_);_(@_)"/>
  </numFmts>
  <fonts count="23">
    <font>
      <sz val="10"/>
      <name val="Arial"/>
    </font>
    <font>
      <sz val="12"/>
      <name val="Arial MT"/>
    </font>
    <font>
      <b/>
      <sz val="12"/>
      <name val="Calibri"/>
      <family val="2"/>
    </font>
    <font>
      <sz val="38"/>
      <color theme="0"/>
      <name val="Calibri"/>
      <family val="2"/>
    </font>
    <font>
      <sz val="38"/>
      <color theme="0"/>
      <name val="Arial"/>
      <family val="2"/>
    </font>
    <font>
      <b/>
      <sz val="20"/>
      <name val="Arial"/>
      <family val="2"/>
    </font>
    <font>
      <b/>
      <sz val="14"/>
      <color theme="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u/>
      <sz val="14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b/>
      <sz val="13"/>
      <color theme="0"/>
      <name val="Arial"/>
      <family val="2"/>
    </font>
    <font>
      <b/>
      <sz val="13"/>
      <color rgb="FF00A1E4"/>
      <name val="Arial"/>
      <family val="2"/>
    </font>
    <font>
      <b/>
      <sz val="14"/>
      <color indexed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A1E4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n">
        <color indexed="8"/>
      </right>
      <top style="medium">
        <color theme="1"/>
      </top>
      <bottom/>
      <diagonal/>
    </border>
    <border>
      <left style="thin">
        <color indexed="8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auto="1"/>
      </left>
      <right/>
      <top/>
      <bottom style="medium">
        <color theme="1"/>
      </bottom>
      <diagonal/>
    </border>
    <border>
      <left/>
      <right style="thin">
        <color auto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medium">
        <color theme="1"/>
      </top>
      <bottom/>
      <diagonal/>
    </border>
    <border>
      <left style="thin">
        <color auto="1"/>
      </left>
      <right/>
      <top style="medium">
        <color theme="1"/>
      </top>
      <bottom style="thin">
        <color auto="1"/>
      </bottom>
      <diagonal/>
    </border>
    <border>
      <left/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/>
      <top style="thin">
        <color theme="0" tint="-0.499984740745262"/>
      </top>
      <bottom style="medium">
        <color theme="1"/>
      </bottom>
      <diagonal/>
    </border>
    <border>
      <left/>
      <right/>
      <top style="thin">
        <color theme="0" tint="-0.499984740745262"/>
      </top>
      <bottom style="medium">
        <color theme="1"/>
      </bottom>
      <diagonal/>
    </border>
    <border>
      <left/>
      <right style="medium">
        <color theme="1"/>
      </right>
      <top style="thin">
        <color theme="0" tint="-0.499984740745262"/>
      </top>
      <bottom style="medium">
        <color theme="1"/>
      </bottom>
      <diagonal/>
    </border>
    <border>
      <left style="thin">
        <color auto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499984740745262"/>
      </bottom>
      <diagonal/>
    </border>
    <border>
      <left style="thin">
        <color auto="1"/>
      </left>
      <right/>
      <top style="medium">
        <color theme="1"/>
      </top>
      <bottom/>
      <diagonal/>
    </border>
    <border>
      <left/>
      <right style="thin">
        <color auto="1"/>
      </right>
      <top style="medium">
        <color theme="1"/>
      </top>
      <bottom/>
      <diagonal/>
    </border>
  </borders>
  <cellStyleXfs count="6">
    <xf numFmtId="0" fontId="0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</cellStyleXfs>
  <cellXfs count="186">
    <xf numFmtId="0" fontId="0" fillId="0" borderId="0" xfId="0"/>
    <xf numFmtId="0" fontId="2" fillId="0" borderId="0" xfId="3" applyFont="1" applyProtection="1">
      <protection locked="0"/>
    </xf>
    <xf numFmtId="0" fontId="2" fillId="0" borderId="0" xfId="3" applyFont="1"/>
    <xf numFmtId="0" fontId="5" fillId="0" borderId="0" xfId="3" applyFont="1" applyProtection="1">
      <protection locked="0"/>
    </xf>
    <xf numFmtId="0" fontId="5" fillId="0" borderId="0" xfId="3" applyFont="1"/>
    <xf numFmtId="0" fontId="6" fillId="0" borderId="0" xfId="3" applyFont="1" applyProtection="1">
      <protection locked="0"/>
    </xf>
    <xf numFmtId="0" fontId="7" fillId="0" borderId="1" xfId="3" applyFont="1" applyBorder="1" applyProtection="1">
      <protection locked="0"/>
    </xf>
    <xf numFmtId="0" fontId="7" fillId="0" borderId="2" xfId="3" applyFont="1" applyBorder="1" applyProtection="1">
      <protection locked="0"/>
    </xf>
    <xf numFmtId="49" fontId="7" fillId="0" borderId="2" xfId="3" applyNumberFormat="1" applyFont="1" applyBorder="1" applyAlignment="1" applyProtection="1">
      <alignment horizontal="left"/>
      <protection locked="0"/>
    </xf>
    <xf numFmtId="49" fontId="7" fillId="0" borderId="2" xfId="3" applyNumberFormat="1" applyFont="1" applyBorder="1" applyProtection="1">
      <protection locked="0"/>
    </xf>
    <xf numFmtId="3" fontId="7" fillId="0" borderId="2" xfId="3" applyNumberFormat="1" applyFont="1" applyBorder="1" applyAlignment="1">
      <alignment horizontal="center"/>
    </xf>
    <xf numFmtId="0" fontId="7" fillId="0" borderId="3" xfId="3" applyFont="1" applyBorder="1" applyProtection="1">
      <protection locked="0"/>
    </xf>
    <xf numFmtId="0" fontId="6" fillId="0" borderId="0" xfId="3" applyFont="1"/>
    <xf numFmtId="0" fontId="7" fillId="0" borderId="0" xfId="3" applyFont="1" applyProtection="1">
      <protection locked="0"/>
    </xf>
    <xf numFmtId="0" fontId="8" fillId="0" borderId="0" xfId="3" applyFont="1" applyProtection="1">
      <protection locked="0"/>
    </xf>
    <xf numFmtId="49" fontId="8" fillId="0" borderId="0" xfId="1" applyNumberFormat="1" applyFont="1" applyFill="1" applyBorder="1" applyAlignment="1" applyProtection="1">
      <alignment horizontal="right"/>
      <protection locked="0"/>
    </xf>
    <xf numFmtId="3" fontId="8" fillId="0" borderId="0" xfId="3" applyNumberFormat="1" applyFont="1" applyAlignment="1" applyProtection="1">
      <alignment horizontal="left"/>
      <protection locked="0"/>
    </xf>
    <xf numFmtId="0" fontId="8" fillId="0" borderId="0" xfId="3" applyFont="1" applyAlignment="1" applyProtection="1">
      <alignment horizontal="left"/>
      <protection locked="0"/>
    </xf>
    <xf numFmtId="3" fontId="8" fillId="0" borderId="0" xfId="3" applyNumberFormat="1" applyFont="1" applyProtection="1">
      <protection locked="0"/>
    </xf>
    <xf numFmtId="49" fontId="8" fillId="0" borderId="0" xfId="3" applyNumberFormat="1" applyFont="1" applyProtection="1">
      <protection locked="0"/>
    </xf>
    <xf numFmtId="0" fontId="8" fillId="0" borderId="0" xfId="3" quotePrefix="1" applyFont="1" applyAlignment="1" applyProtection="1">
      <alignment horizontal="right"/>
      <protection locked="0"/>
    </xf>
    <xf numFmtId="3" fontId="8" fillId="0" borderId="0" xfId="3" applyNumberFormat="1" applyFont="1" applyAlignment="1">
      <alignment horizontal="center"/>
    </xf>
    <xf numFmtId="0" fontId="7" fillId="0" borderId="0" xfId="3" applyFont="1"/>
    <xf numFmtId="0" fontId="10" fillId="0" borderId="0" xfId="3" applyFont="1" applyProtection="1">
      <protection locked="0"/>
    </xf>
    <xf numFmtId="0" fontId="9" fillId="3" borderId="9" xfId="3" applyFont="1" applyFill="1" applyBorder="1" applyAlignment="1" applyProtection="1">
      <alignment horizontal="left"/>
      <protection locked="0"/>
    </xf>
    <xf numFmtId="0" fontId="9" fillId="3" borderId="0" xfId="3" applyFont="1" applyFill="1" applyAlignment="1" applyProtection="1">
      <alignment horizontal="left"/>
      <protection locked="0"/>
    </xf>
    <xf numFmtId="0" fontId="9" fillId="3" borderId="10" xfId="3" applyFont="1" applyFill="1" applyBorder="1" applyAlignment="1" applyProtection="1">
      <alignment horizontal="left"/>
      <protection locked="0"/>
    </xf>
    <xf numFmtId="0" fontId="10" fillId="0" borderId="0" xfId="3" applyFont="1"/>
    <xf numFmtId="0" fontId="10" fillId="0" borderId="9" xfId="3" applyFont="1" applyBorder="1" applyAlignment="1" applyProtection="1">
      <alignment horizontal="left"/>
      <protection locked="0"/>
    </xf>
    <xf numFmtId="0" fontId="10" fillId="0" borderId="0" xfId="3" applyFont="1" applyAlignment="1" applyProtection="1">
      <alignment horizontal="left"/>
      <protection locked="0"/>
    </xf>
    <xf numFmtId="0" fontId="10" fillId="0" borderId="11" xfId="3" applyFont="1" applyBorder="1" applyAlignment="1" applyProtection="1">
      <alignment horizontal="left"/>
      <protection locked="0"/>
    </xf>
    <xf numFmtId="49" fontId="10" fillId="0" borderId="0" xfId="3" applyNumberFormat="1" applyFont="1" applyProtection="1">
      <protection locked="0"/>
    </xf>
    <xf numFmtId="0" fontId="10" fillId="0" borderId="12" xfId="3" applyFont="1" applyBorder="1" applyAlignment="1" applyProtection="1">
      <alignment horizontal="left"/>
      <protection locked="0"/>
    </xf>
    <xf numFmtId="0" fontId="11" fillId="0" borderId="10" xfId="3" applyFont="1" applyBorder="1" applyAlignment="1" applyProtection="1">
      <alignment horizontal="left"/>
      <protection locked="0"/>
    </xf>
    <xf numFmtId="49" fontId="10" fillId="0" borderId="0" xfId="0" applyNumberFormat="1" applyFont="1" applyAlignment="1">
      <alignment vertical="top" wrapText="1"/>
    </xf>
    <xf numFmtId="165" fontId="10" fillId="0" borderId="0" xfId="3" applyNumberFormat="1" applyFont="1" applyAlignment="1" applyProtection="1">
      <alignment horizontal="left"/>
      <protection locked="0"/>
    </xf>
    <xf numFmtId="43" fontId="10" fillId="0" borderId="0" xfId="1" applyFont="1" applyFill="1" applyBorder="1" applyAlignment="1" applyProtection="1">
      <alignment horizontal="center"/>
      <protection locked="0"/>
    </xf>
    <xf numFmtId="43" fontId="10" fillId="0" borderId="10" xfId="1" applyFont="1" applyFill="1" applyBorder="1" applyAlignment="1" applyProtection="1">
      <alignment horizontal="right"/>
      <protection locked="0"/>
    </xf>
    <xf numFmtId="165" fontId="10" fillId="0" borderId="12" xfId="3" applyNumberFormat="1" applyFont="1" applyBorder="1" applyAlignment="1" applyProtection="1">
      <alignment horizontal="left"/>
      <protection locked="0"/>
    </xf>
    <xf numFmtId="0" fontId="7" fillId="4" borderId="0" xfId="3" quotePrefix="1" applyFont="1" applyFill="1" applyAlignment="1" applyProtection="1">
      <alignment horizontal="center"/>
      <protection locked="0"/>
    </xf>
    <xf numFmtId="0" fontId="7" fillId="4" borderId="17" xfId="3" quotePrefix="1" applyFont="1" applyFill="1" applyBorder="1" applyAlignment="1" applyProtection="1">
      <alignment horizontal="center"/>
      <protection locked="0"/>
    </xf>
    <xf numFmtId="0" fontId="7" fillId="4" borderId="24" xfId="3" quotePrefix="1" applyFont="1" applyFill="1" applyBorder="1" applyAlignment="1">
      <alignment horizontal="center"/>
    </xf>
    <xf numFmtId="0" fontId="7" fillId="4" borderId="25" xfId="3" quotePrefix="1" applyFont="1" applyFill="1" applyBorder="1" applyAlignment="1">
      <alignment horizontal="center"/>
    </xf>
    <xf numFmtId="0" fontId="7" fillId="4" borderId="9" xfId="3" quotePrefix="1" applyFont="1" applyFill="1" applyBorder="1" applyAlignment="1">
      <alignment horizontal="center"/>
    </xf>
    <xf numFmtId="0" fontId="7" fillId="4" borderId="0" xfId="3" quotePrefix="1" applyFont="1" applyFill="1" applyAlignment="1">
      <alignment horizontal="center"/>
    </xf>
    <xf numFmtId="0" fontId="7" fillId="4" borderId="16" xfId="3" quotePrefix="1" applyFont="1" applyFill="1" applyBorder="1" applyAlignment="1">
      <alignment horizontal="center"/>
    </xf>
    <xf numFmtId="37" fontId="7" fillId="0" borderId="0" xfId="0" applyNumberFormat="1" applyFont="1"/>
    <xf numFmtId="3" fontId="17" fillId="0" borderId="0" xfId="0" applyNumberFormat="1" applyFont="1" applyAlignment="1">
      <alignment horizontal="right" vertical="center" wrapText="1"/>
    </xf>
    <xf numFmtId="49" fontId="7" fillId="0" borderId="0" xfId="3" applyNumberFormat="1" applyFont="1"/>
    <xf numFmtId="49" fontId="7" fillId="0" borderId="0" xfId="3" applyNumberFormat="1" applyFont="1" applyProtection="1">
      <protection locked="0"/>
    </xf>
    <xf numFmtId="37" fontId="7" fillId="0" borderId="0" xfId="3" applyNumberFormat="1" applyFont="1"/>
    <xf numFmtId="49" fontId="17" fillId="0" borderId="0" xfId="0" applyNumberFormat="1" applyFont="1" applyAlignment="1">
      <alignment horizontal="right" vertical="center" wrapText="1"/>
    </xf>
    <xf numFmtId="0" fontId="18" fillId="0" borderId="0" xfId="3" applyFont="1" applyProtection="1">
      <protection locked="0"/>
    </xf>
    <xf numFmtId="0" fontId="18" fillId="0" borderId="0" xfId="3" applyFont="1"/>
    <xf numFmtId="0" fontId="18" fillId="0" borderId="0" xfId="3" applyFont="1" applyAlignment="1" applyProtection="1">
      <alignment horizontal="centerContinuous"/>
      <protection locked="0"/>
    </xf>
    <xf numFmtId="0" fontId="0" fillId="0" borderId="0" xfId="0" applyAlignment="1">
      <alignment wrapText="1"/>
    </xf>
    <xf numFmtId="8" fontId="0" fillId="0" borderId="0" xfId="0" applyNumberFormat="1" applyAlignment="1">
      <alignment wrapText="1"/>
    </xf>
    <xf numFmtId="0" fontId="20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42" fontId="14" fillId="4" borderId="37" xfId="2" applyNumberFormat="1" applyFont="1" applyFill="1" applyBorder="1" applyAlignment="1" applyProtection="1">
      <alignment horizontal="center"/>
    </xf>
    <xf numFmtId="0" fontId="5" fillId="0" borderId="0" xfId="3" applyFont="1" applyAlignment="1" applyProtection="1">
      <alignment horizontal="center"/>
      <protection locked="0"/>
    </xf>
    <xf numFmtId="42" fontId="14" fillId="0" borderId="33" xfId="2" applyNumberFormat="1" applyFont="1" applyFill="1" applyBorder="1" applyAlignment="1" applyProtection="1">
      <alignment horizontal="center"/>
      <protection locked="0"/>
    </xf>
    <xf numFmtId="41" fontId="14" fillId="0" borderId="33" xfId="2" applyNumberFormat="1" applyFont="1" applyFill="1" applyBorder="1" applyAlignment="1" applyProtection="1">
      <alignment horizontal="center"/>
      <protection locked="0"/>
    </xf>
    <xf numFmtId="41" fontId="14" fillId="0" borderId="33" xfId="1" applyNumberFormat="1" applyFont="1" applyFill="1" applyBorder="1" applyAlignment="1" applyProtection="1">
      <alignment horizontal="center"/>
      <protection locked="0"/>
    </xf>
    <xf numFmtId="0" fontId="15" fillId="3" borderId="42" xfId="3" applyFont="1" applyFill="1" applyBorder="1" applyAlignment="1" applyProtection="1">
      <alignment horizontal="center" vertical="center"/>
      <protection locked="0"/>
    </xf>
    <xf numFmtId="0" fontId="15" fillId="3" borderId="5" xfId="3" applyFont="1" applyFill="1" applyBorder="1" applyAlignment="1" applyProtection="1">
      <alignment horizontal="center" vertical="center"/>
      <protection locked="0"/>
    </xf>
    <xf numFmtId="0" fontId="15" fillId="3" borderId="43" xfId="3" applyFont="1" applyFill="1" applyBorder="1" applyAlignment="1" applyProtection="1">
      <alignment horizontal="center" vertical="center"/>
      <protection locked="0"/>
    </xf>
    <xf numFmtId="0" fontId="15" fillId="3" borderId="11" xfId="3" applyFont="1" applyFill="1" applyBorder="1" applyAlignment="1" applyProtection="1">
      <alignment horizontal="center" vertical="center"/>
      <protection locked="0"/>
    </xf>
    <xf numFmtId="0" fontId="15" fillId="3" borderId="0" xfId="3" applyFont="1" applyFill="1" applyAlignment="1" applyProtection="1">
      <alignment horizontal="center" vertical="center"/>
      <protection locked="0"/>
    </xf>
    <xf numFmtId="0" fontId="15" fillId="3" borderId="12" xfId="3" applyFont="1" applyFill="1" applyBorder="1" applyAlignment="1" applyProtection="1">
      <alignment horizontal="center" vertical="center"/>
      <protection locked="0"/>
    </xf>
    <xf numFmtId="0" fontId="9" fillId="3" borderId="7" xfId="3" applyFont="1" applyFill="1" applyBorder="1" applyAlignment="1" applyProtection="1">
      <alignment horizontal="left"/>
      <protection locked="0"/>
    </xf>
    <xf numFmtId="0" fontId="9" fillId="3" borderId="5" xfId="3" applyFont="1" applyFill="1" applyBorder="1" applyAlignment="1" applyProtection="1">
      <alignment horizontal="left"/>
      <protection locked="0"/>
    </xf>
    <xf numFmtId="0" fontId="9" fillId="3" borderId="8" xfId="3" applyFont="1" applyFill="1" applyBorder="1" applyAlignment="1" applyProtection="1">
      <alignment horizontal="left"/>
      <protection locked="0"/>
    </xf>
    <xf numFmtId="0" fontId="9" fillId="3" borderId="4" xfId="3" applyFont="1" applyFill="1" applyBorder="1" applyAlignment="1" applyProtection="1">
      <alignment horizontal="left"/>
      <protection locked="0"/>
    </xf>
    <xf numFmtId="0" fontId="9" fillId="3" borderId="6" xfId="3" applyFont="1" applyFill="1" applyBorder="1" applyAlignment="1" applyProtection="1">
      <alignment horizontal="left"/>
      <protection locked="0"/>
    </xf>
    <xf numFmtId="43" fontId="10" fillId="0" borderId="0" xfId="1" applyFont="1" applyFill="1" applyBorder="1" applyAlignment="1" applyProtection="1">
      <alignment horizontal="left"/>
      <protection locked="0"/>
    </xf>
    <xf numFmtId="43" fontId="10" fillId="0" borderId="10" xfId="1" applyFont="1" applyFill="1" applyBorder="1" applyAlignment="1" applyProtection="1">
      <alignment horizontal="left"/>
      <protection locked="0"/>
    </xf>
    <xf numFmtId="49" fontId="10" fillId="0" borderId="0" xfId="1" applyNumberFormat="1" applyFont="1" applyFill="1" applyBorder="1" applyAlignment="1" applyProtection="1">
      <alignment horizontal="left"/>
      <protection locked="0"/>
    </xf>
    <xf numFmtId="49" fontId="10" fillId="0" borderId="10" xfId="1" applyNumberFormat="1" applyFont="1" applyFill="1" applyBorder="1" applyAlignment="1" applyProtection="1">
      <alignment horizontal="left"/>
      <protection locked="0"/>
    </xf>
    <xf numFmtId="49" fontId="14" fillId="0" borderId="25" xfId="3" applyNumberFormat="1" applyFont="1" applyBorder="1" applyAlignment="1">
      <alignment horizontal="left"/>
    </xf>
    <xf numFmtId="49" fontId="14" fillId="0" borderId="26" xfId="3" applyNumberFormat="1" applyFont="1" applyBorder="1" applyAlignment="1">
      <alignment horizontal="left"/>
    </xf>
    <xf numFmtId="49" fontId="13" fillId="0" borderId="0" xfId="3" applyNumberFormat="1" applyFont="1" applyAlignment="1" applyProtection="1">
      <alignment horizontal="left"/>
      <protection locked="0"/>
    </xf>
    <xf numFmtId="5" fontId="13" fillId="0" borderId="17" xfId="2" applyNumberFormat="1" applyFont="1" applyFill="1" applyBorder="1" applyAlignment="1" applyProtection="1">
      <alignment horizontal="right"/>
      <protection locked="0"/>
    </xf>
    <xf numFmtId="5" fontId="13" fillId="0" borderId="20" xfId="2" applyNumberFormat="1" applyFont="1" applyFill="1" applyBorder="1" applyAlignment="1" applyProtection="1">
      <alignment horizontal="right"/>
      <protection locked="0"/>
    </xf>
    <xf numFmtId="5" fontId="13" fillId="0" borderId="0" xfId="2" applyNumberFormat="1" applyFont="1" applyFill="1" applyBorder="1" applyAlignment="1" applyProtection="1">
      <alignment horizontal="right"/>
      <protection locked="0"/>
    </xf>
    <xf numFmtId="5" fontId="13" fillId="0" borderId="10" xfId="2" applyNumberFormat="1" applyFont="1" applyFill="1" applyBorder="1" applyAlignment="1" applyProtection="1">
      <alignment horizontal="right"/>
      <protection locked="0"/>
    </xf>
    <xf numFmtId="49" fontId="13" fillId="0" borderId="17" xfId="3" applyNumberFormat="1" applyFont="1" applyBorder="1" applyAlignment="1" applyProtection="1">
      <alignment horizontal="left"/>
      <protection locked="0"/>
    </xf>
    <xf numFmtId="0" fontId="10" fillId="0" borderId="9" xfId="3" applyFont="1" applyBorder="1" applyAlignment="1" applyProtection="1">
      <alignment horizontal="left"/>
      <protection locked="0"/>
    </xf>
    <xf numFmtId="0" fontId="10" fillId="0" borderId="0" xfId="3" applyFont="1" applyAlignment="1" applyProtection="1">
      <alignment horizontal="left"/>
      <protection locked="0"/>
    </xf>
    <xf numFmtId="0" fontId="10" fillId="0" borderId="18" xfId="3" applyFont="1" applyBorder="1" applyAlignment="1" applyProtection="1">
      <alignment horizontal="left"/>
      <protection locked="0"/>
    </xf>
    <xf numFmtId="0" fontId="10" fillId="0" borderId="17" xfId="3" applyFont="1" applyBorder="1" applyAlignment="1" applyProtection="1">
      <alignment horizontal="left"/>
      <protection locked="0"/>
    </xf>
    <xf numFmtId="0" fontId="10" fillId="0" borderId="11" xfId="3" applyFont="1" applyBorder="1" applyAlignment="1" applyProtection="1">
      <alignment horizontal="left"/>
      <protection locked="0"/>
    </xf>
    <xf numFmtId="0" fontId="12" fillId="0" borderId="11" xfId="3" applyFont="1" applyBorder="1" applyAlignment="1" applyProtection="1">
      <alignment horizontal="left"/>
      <protection locked="0"/>
    </xf>
    <xf numFmtId="0" fontId="12" fillId="0" borderId="0" xfId="3" applyFont="1" applyAlignment="1" applyProtection="1">
      <alignment horizontal="left"/>
      <protection locked="0"/>
    </xf>
    <xf numFmtId="0" fontId="10" fillId="0" borderId="16" xfId="3" applyFont="1" applyBorder="1" applyAlignment="1" applyProtection="1">
      <alignment horizontal="left"/>
      <protection locked="0"/>
    </xf>
    <xf numFmtId="49" fontId="10" fillId="0" borderId="0" xfId="1" applyNumberFormat="1" applyFont="1" applyFill="1" applyBorder="1" applyAlignment="1" applyProtection="1">
      <alignment horizontal="left" wrapText="1"/>
      <protection locked="0"/>
    </xf>
    <xf numFmtId="164" fontId="11" fillId="0" borderId="0" xfId="1" applyNumberFormat="1" applyFont="1" applyFill="1" applyBorder="1" applyAlignment="1" applyProtection="1">
      <alignment horizontal="left"/>
      <protection locked="0"/>
    </xf>
    <xf numFmtId="0" fontId="6" fillId="3" borderId="13" xfId="3" applyFont="1" applyFill="1" applyBorder="1" applyAlignment="1" applyProtection="1">
      <alignment horizontal="left"/>
      <protection locked="0"/>
    </xf>
    <xf numFmtId="0" fontId="6" fillId="3" borderId="14" xfId="3" applyFont="1" applyFill="1" applyBorder="1" applyAlignment="1" applyProtection="1">
      <alignment horizontal="left"/>
      <protection locked="0"/>
    </xf>
    <xf numFmtId="0" fontId="6" fillId="3" borderId="15" xfId="3" applyFont="1" applyFill="1" applyBorder="1" applyAlignment="1" applyProtection="1">
      <alignment horizontal="left"/>
      <protection locked="0"/>
    </xf>
    <xf numFmtId="49" fontId="10" fillId="0" borderId="12" xfId="1" applyNumberFormat="1" applyFont="1" applyFill="1" applyBorder="1" applyAlignment="1" applyProtection="1">
      <alignment horizontal="left"/>
      <protection locked="0"/>
    </xf>
    <xf numFmtId="7" fontId="10" fillId="0" borderId="0" xfId="2" applyNumberFormat="1" applyFont="1" applyFill="1" applyBorder="1" applyAlignment="1" applyProtection="1">
      <alignment horizontal="left"/>
      <protection locked="0"/>
    </xf>
    <xf numFmtId="7" fontId="10" fillId="0" borderId="12" xfId="2" applyNumberFormat="1" applyFont="1" applyFill="1" applyBorder="1" applyAlignment="1" applyProtection="1">
      <alignment horizontal="left"/>
      <protection locked="0"/>
    </xf>
    <xf numFmtId="165" fontId="10" fillId="0" borderId="0" xfId="3" applyNumberFormat="1" applyFont="1" applyAlignment="1" applyProtection="1">
      <alignment horizontal="left"/>
      <protection locked="0"/>
    </xf>
    <xf numFmtId="164" fontId="10" fillId="0" borderId="0" xfId="3" applyNumberFormat="1" applyFont="1" applyAlignment="1" applyProtection="1">
      <alignment horizontal="left"/>
      <protection locked="0"/>
    </xf>
    <xf numFmtId="164" fontId="10" fillId="0" borderId="10" xfId="3" applyNumberFormat="1" applyFont="1" applyBorder="1" applyAlignment="1" applyProtection="1">
      <alignment horizontal="left"/>
      <protection locked="0"/>
    </xf>
    <xf numFmtId="0" fontId="11" fillId="0" borderId="0" xfId="3" applyFont="1" applyAlignment="1" applyProtection="1">
      <alignment horizontal="left"/>
      <protection locked="0"/>
    </xf>
    <xf numFmtId="0" fontId="6" fillId="3" borderId="21" xfId="3" applyFont="1" applyFill="1" applyBorder="1" applyAlignment="1">
      <alignment horizontal="left"/>
    </xf>
    <xf numFmtId="0" fontId="6" fillId="3" borderId="22" xfId="3" applyFont="1" applyFill="1" applyBorder="1" applyAlignment="1">
      <alignment horizontal="left"/>
    </xf>
    <xf numFmtId="0" fontId="6" fillId="3" borderId="23" xfId="3" applyFont="1" applyFill="1" applyBorder="1" applyAlignment="1">
      <alignment horizontal="left"/>
    </xf>
    <xf numFmtId="0" fontId="14" fillId="0" borderId="17" xfId="3" applyFont="1" applyBorder="1" applyAlignment="1" applyProtection="1">
      <alignment horizontal="left"/>
      <protection locked="0"/>
    </xf>
    <xf numFmtId="0" fontId="14" fillId="0" borderId="0" xfId="3" applyFont="1" applyAlignment="1">
      <alignment horizontal="left"/>
    </xf>
    <xf numFmtId="164" fontId="10" fillId="0" borderId="0" xfId="1" applyNumberFormat="1" applyFont="1" applyFill="1" applyBorder="1" applyAlignment="1" applyProtection="1">
      <alignment horizontal="left"/>
      <protection locked="0"/>
    </xf>
    <xf numFmtId="164" fontId="10" fillId="0" borderId="12" xfId="1" applyNumberFormat="1" applyFont="1" applyFill="1" applyBorder="1" applyAlignment="1" applyProtection="1">
      <alignment horizontal="left"/>
      <protection locked="0"/>
    </xf>
    <xf numFmtId="49" fontId="14" fillId="0" borderId="0" xfId="3" applyNumberFormat="1" applyFont="1" applyAlignment="1">
      <alignment horizontal="left"/>
    </xf>
    <xf numFmtId="49" fontId="14" fillId="0" borderId="10" xfId="3" applyNumberFormat="1" applyFont="1" applyBorder="1" applyAlignment="1">
      <alignment horizontal="left"/>
    </xf>
    <xf numFmtId="49" fontId="14" fillId="0" borderId="0" xfId="1" applyNumberFormat="1" applyFont="1" applyFill="1" applyBorder="1" applyAlignment="1" applyProtection="1">
      <alignment horizontal="left"/>
      <protection locked="0"/>
    </xf>
    <xf numFmtId="49" fontId="14" fillId="0" borderId="10" xfId="1" applyNumberFormat="1" applyFont="1" applyFill="1" applyBorder="1" applyAlignment="1" applyProtection="1">
      <alignment horizontal="left"/>
      <protection locked="0"/>
    </xf>
    <xf numFmtId="49" fontId="10" fillId="0" borderId="17" xfId="1" applyNumberFormat="1" applyFont="1" applyFill="1" applyBorder="1" applyAlignment="1" applyProtection="1">
      <alignment horizontal="left"/>
      <protection locked="0"/>
    </xf>
    <xf numFmtId="49" fontId="10" fillId="0" borderId="19" xfId="1" applyNumberFormat="1" applyFont="1" applyFill="1" applyBorder="1" applyAlignment="1" applyProtection="1">
      <alignment horizontal="left"/>
      <protection locked="0"/>
    </xf>
    <xf numFmtId="49" fontId="14" fillId="0" borderId="25" xfId="1" applyNumberFormat="1" applyFont="1" applyFill="1" applyBorder="1" applyAlignment="1" applyProtection="1">
      <alignment horizontal="left"/>
      <protection locked="0"/>
    </xf>
    <xf numFmtId="49" fontId="14" fillId="0" borderId="17" xfId="3" applyNumberFormat="1" applyFont="1" applyBorder="1" applyAlignment="1" applyProtection="1">
      <alignment horizontal="left"/>
      <protection locked="0"/>
    </xf>
    <xf numFmtId="49" fontId="14" fillId="0" borderId="20" xfId="3" applyNumberFormat="1" applyFont="1" applyBorder="1" applyAlignment="1" applyProtection="1">
      <alignment horizontal="left"/>
      <protection locked="0"/>
    </xf>
    <xf numFmtId="49" fontId="10" fillId="0" borderId="17" xfId="1" applyNumberFormat="1" applyFont="1" applyFill="1" applyBorder="1" applyAlignment="1" applyProtection="1">
      <alignment horizontal="left" wrapText="1"/>
      <protection locked="0"/>
    </xf>
    <xf numFmtId="41" fontId="14" fillId="0" borderId="33" xfId="1" applyNumberFormat="1" applyFont="1" applyFill="1" applyBorder="1" applyAlignment="1" applyProtection="1"/>
    <xf numFmtId="41" fontId="14" fillId="0" borderId="33" xfId="2" applyNumberFormat="1" applyFont="1" applyFill="1" applyBorder="1" applyAlignment="1" applyProtection="1">
      <alignment horizontal="right"/>
    </xf>
    <xf numFmtId="0" fontId="15" fillId="5" borderId="34" xfId="3" applyFont="1" applyFill="1" applyBorder="1" applyAlignment="1" applyProtection="1">
      <alignment horizontal="center" vertical="center"/>
      <protection locked="0"/>
    </xf>
    <xf numFmtId="167" fontId="14" fillId="0" borderId="11" xfId="1" applyNumberFormat="1" applyFont="1" applyFill="1" applyBorder="1" applyAlignment="1" applyProtection="1">
      <alignment horizontal="center"/>
      <protection locked="0"/>
    </xf>
    <xf numFmtId="167" fontId="14" fillId="0" borderId="0" xfId="1" applyNumberFormat="1" applyFont="1" applyFill="1" applyBorder="1" applyAlignment="1" applyProtection="1">
      <alignment horizontal="center"/>
      <protection locked="0"/>
    </xf>
    <xf numFmtId="167" fontId="14" fillId="0" borderId="12" xfId="1" applyNumberFormat="1" applyFont="1" applyFill="1" applyBorder="1" applyAlignment="1" applyProtection="1">
      <alignment horizontal="center"/>
      <protection locked="0"/>
    </xf>
    <xf numFmtId="167" fontId="14" fillId="0" borderId="11" xfId="1" applyNumberFormat="1" applyFont="1" applyFill="1" applyBorder="1" applyAlignment="1" applyProtection="1">
      <alignment horizontal="center"/>
    </xf>
    <xf numFmtId="167" fontId="14" fillId="0" borderId="0" xfId="1" applyNumberFormat="1" applyFont="1" applyFill="1" applyBorder="1" applyAlignment="1" applyProtection="1">
      <alignment horizontal="center"/>
    </xf>
    <xf numFmtId="167" fontId="14" fillId="0" borderId="12" xfId="1" applyNumberFormat="1" applyFont="1" applyFill="1" applyBorder="1" applyAlignment="1" applyProtection="1">
      <alignment horizontal="center"/>
    </xf>
    <xf numFmtId="41" fontId="14" fillId="0" borderId="33" xfId="1" applyNumberFormat="1" applyFont="1" applyFill="1" applyBorder="1" applyAlignment="1" applyProtection="1">
      <protection locked="0"/>
    </xf>
    <xf numFmtId="41" fontId="14" fillId="4" borderId="37" xfId="3" applyNumberFormat="1" applyFont="1" applyFill="1" applyBorder="1" applyAlignment="1">
      <alignment horizontal="center"/>
    </xf>
    <xf numFmtId="41" fontId="14" fillId="4" borderId="37" xfId="2" applyNumberFormat="1" applyFont="1" applyFill="1" applyBorder="1" applyAlignment="1" applyProtection="1">
      <alignment horizontal="center"/>
    </xf>
    <xf numFmtId="167" fontId="14" fillId="0" borderId="33" xfId="1" applyNumberFormat="1" applyFont="1" applyFill="1" applyBorder="1" applyAlignment="1" applyProtection="1">
      <alignment horizontal="center"/>
      <protection locked="0"/>
    </xf>
    <xf numFmtId="42" fontId="14" fillId="4" borderId="37" xfId="2" applyNumberFormat="1" applyFont="1" applyFill="1" applyBorder="1" applyAlignment="1" applyProtection="1">
      <alignment horizontal="center"/>
    </xf>
    <xf numFmtId="9" fontId="16" fillId="4" borderId="37" xfId="3" applyNumberFormat="1" applyFont="1" applyFill="1" applyBorder="1" applyAlignment="1">
      <alignment horizontal="center"/>
    </xf>
    <xf numFmtId="49" fontId="7" fillId="0" borderId="2" xfId="3" applyNumberFormat="1" applyFont="1" applyBorder="1" applyAlignment="1" applyProtection="1">
      <alignment horizontal="left"/>
      <protection locked="0"/>
    </xf>
    <xf numFmtId="49" fontId="7" fillId="0" borderId="2" xfId="1" applyNumberFormat="1" applyFont="1" applyFill="1" applyBorder="1" applyAlignment="1" applyProtection="1">
      <alignment horizontal="right"/>
      <protection locked="0"/>
    </xf>
    <xf numFmtId="0" fontId="7" fillId="0" borderId="2" xfId="3" quotePrefix="1" applyFont="1" applyBorder="1" applyAlignment="1" applyProtection="1">
      <alignment horizontal="right"/>
      <protection locked="0"/>
    </xf>
    <xf numFmtId="0" fontId="7" fillId="4" borderId="32" xfId="3" applyFont="1" applyFill="1" applyBorder="1" applyAlignment="1" applyProtection="1">
      <alignment horizontal="center" vertical="center"/>
      <protection locked="0"/>
    </xf>
    <xf numFmtId="0" fontId="7" fillId="4" borderId="33" xfId="3" applyFont="1" applyFill="1" applyBorder="1" applyAlignment="1" applyProtection="1">
      <alignment horizontal="center" vertical="center"/>
      <protection locked="0"/>
    </xf>
    <xf numFmtId="166" fontId="14" fillId="0" borderId="33" xfId="2" applyNumberFormat="1" applyFont="1" applyFill="1" applyBorder="1" applyAlignment="1" applyProtection="1">
      <alignment horizontal="center"/>
    </xf>
    <xf numFmtId="166" fontId="14" fillId="0" borderId="35" xfId="2" applyNumberFormat="1" applyFont="1" applyFill="1" applyBorder="1" applyAlignment="1" applyProtection="1">
      <alignment horizontal="center"/>
    </xf>
    <xf numFmtId="167" fontId="14" fillId="0" borderId="33" xfId="1" applyNumberFormat="1" applyFont="1" applyFill="1" applyBorder="1" applyAlignment="1" applyProtection="1">
      <alignment horizontal="center"/>
    </xf>
    <xf numFmtId="167" fontId="14" fillId="0" borderId="35" xfId="1" applyNumberFormat="1" applyFont="1" applyFill="1" applyBorder="1" applyAlignment="1" applyProtection="1">
      <alignment horizontal="center"/>
    </xf>
    <xf numFmtId="41" fontId="14" fillId="0" borderId="33" xfId="1" applyNumberFormat="1" applyFont="1" applyFill="1" applyBorder="1" applyAlignment="1" applyProtection="1">
      <alignment horizontal="center"/>
    </xf>
    <xf numFmtId="166" fontId="14" fillId="0" borderId="11" xfId="2" applyNumberFormat="1" applyFont="1" applyFill="1" applyBorder="1" applyAlignment="1" applyProtection="1">
      <alignment horizontal="center"/>
    </xf>
    <xf numFmtId="166" fontId="14" fillId="0" borderId="0" xfId="2" applyNumberFormat="1" applyFont="1" applyFill="1" applyBorder="1" applyAlignment="1" applyProtection="1">
      <alignment horizontal="center"/>
    </xf>
    <xf numFmtId="166" fontId="14" fillId="0" borderId="12" xfId="2" applyNumberFormat="1" applyFont="1" applyFill="1" applyBorder="1" applyAlignment="1" applyProtection="1">
      <alignment horizontal="center"/>
    </xf>
    <xf numFmtId="166" fontId="14" fillId="0" borderId="33" xfId="2" applyNumberFormat="1" applyFont="1" applyFill="1" applyBorder="1" applyAlignment="1" applyProtection="1">
      <alignment horizontal="center"/>
      <protection locked="0"/>
    </xf>
    <xf numFmtId="166" fontId="14" fillId="0" borderId="11" xfId="2" applyNumberFormat="1" applyFont="1" applyFill="1" applyBorder="1" applyAlignment="1" applyProtection="1">
      <alignment horizontal="center"/>
      <protection locked="0"/>
    </xf>
    <xf numFmtId="166" fontId="14" fillId="0" borderId="0" xfId="2" applyNumberFormat="1" applyFont="1" applyFill="1" applyBorder="1" applyAlignment="1" applyProtection="1">
      <alignment horizontal="center"/>
      <protection locked="0"/>
    </xf>
    <xf numFmtId="166" fontId="14" fillId="0" borderId="12" xfId="2" applyNumberFormat="1" applyFont="1" applyFill="1" applyBorder="1" applyAlignment="1" applyProtection="1">
      <alignment horizontal="center"/>
      <protection locked="0"/>
    </xf>
    <xf numFmtId="42" fontId="14" fillId="4" borderId="37" xfId="3" applyNumberFormat="1" applyFont="1" applyFill="1" applyBorder="1" applyAlignment="1">
      <alignment horizontal="center"/>
    </xf>
    <xf numFmtId="42" fontId="14" fillId="4" borderId="38" xfId="3" applyNumberFormat="1" applyFont="1" applyFill="1" applyBorder="1" applyAlignment="1">
      <alignment horizontal="center"/>
    </xf>
    <xf numFmtId="0" fontId="7" fillId="4" borderId="36" xfId="3" applyFont="1" applyFill="1" applyBorder="1" applyAlignment="1" applyProtection="1">
      <alignment horizontal="center"/>
      <protection locked="0"/>
    </xf>
    <xf numFmtId="0" fontId="7" fillId="4" borderId="37" xfId="3" applyFont="1" applyFill="1" applyBorder="1" applyAlignment="1" applyProtection="1">
      <alignment horizontal="center"/>
      <protection locked="0"/>
    </xf>
    <xf numFmtId="0" fontId="3" fillId="2" borderId="0" xfId="3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>
      <alignment horizontal="center" vertical="center" wrapText="1"/>
    </xf>
    <xf numFmtId="0" fontId="15" fillId="3" borderId="27" xfId="3" applyFont="1" applyFill="1" applyBorder="1" applyAlignment="1" applyProtection="1">
      <alignment horizontal="center" vertical="center" wrapText="1"/>
      <protection locked="0"/>
    </xf>
    <xf numFmtId="0" fontId="15" fillId="3" borderId="28" xfId="3" applyFont="1" applyFill="1" applyBorder="1" applyAlignment="1" applyProtection="1">
      <alignment horizontal="center" vertical="center" wrapText="1"/>
      <protection locked="0"/>
    </xf>
    <xf numFmtId="0" fontId="15" fillId="3" borderId="32" xfId="3" applyFont="1" applyFill="1" applyBorder="1" applyAlignment="1" applyProtection="1">
      <alignment horizontal="center" vertical="center" wrapText="1"/>
      <protection locked="0"/>
    </xf>
    <xf numFmtId="0" fontId="15" fillId="3" borderId="33" xfId="3" applyFont="1" applyFill="1" applyBorder="1" applyAlignment="1" applyProtection="1">
      <alignment horizontal="center" vertical="center" wrapText="1"/>
      <protection locked="0"/>
    </xf>
    <xf numFmtId="0" fontId="15" fillId="3" borderId="29" xfId="3" quotePrefix="1" applyFont="1" applyFill="1" applyBorder="1" applyAlignment="1" applyProtection="1">
      <alignment horizontal="center" vertical="center"/>
      <protection locked="0"/>
    </xf>
    <xf numFmtId="0" fontId="15" fillId="3" borderId="22" xfId="3" quotePrefix="1" applyFont="1" applyFill="1" applyBorder="1" applyAlignment="1" applyProtection="1">
      <alignment horizontal="center" vertical="center"/>
      <protection locked="0"/>
    </xf>
    <xf numFmtId="0" fontId="15" fillId="3" borderId="30" xfId="3" quotePrefix="1" applyFont="1" applyFill="1" applyBorder="1" applyAlignment="1" applyProtection="1">
      <alignment horizontal="center" vertical="center"/>
      <protection locked="0"/>
    </xf>
    <xf numFmtId="0" fontId="15" fillId="3" borderId="28" xfId="3" applyFont="1" applyFill="1" applyBorder="1" applyAlignment="1" applyProtection="1">
      <alignment horizontal="center" vertical="center"/>
      <protection locked="0"/>
    </xf>
    <xf numFmtId="0" fontId="15" fillId="3" borderId="33" xfId="3" applyFont="1" applyFill="1" applyBorder="1" applyAlignment="1" applyProtection="1">
      <alignment horizontal="center" vertical="center"/>
      <protection locked="0"/>
    </xf>
    <xf numFmtId="0" fontId="15" fillId="3" borderId="31" xfId="3" applyFont="1" applyFill="1" applyBorder="1" applyAlignment="1" applyProtection="1">
      <alignment horizontal="center" vertical="center" wrapText="1"/>
      <protection locked="0"/>
    </xf>
    <xf numFmtId="0" fontId="15" fillId="3" borderId="35" xfId="3" applyFont="1" applyFill="1" applyBorder="1" applyAlignment="1" applyProtection="1">
      <alignment horizontal="center" vertical="center" wrapText="1"/>
      <protection locked="0"/>
    </xf>
    <xf numFmtId="167" fontId="14" fillId="0" borderId="39" xfId="1" applyNumberFormat="1" applyFont="1" applyFill="1" applyBorder="1" applyAlignment="1" applyProtection="1">
      <alignment horizontal="center"/>
      <protection locked="0"/>
    </xf>
    <xf numFmtId="167" fontId="14" fillId="0" borderId="40" xfId="1" applyNumberFormat="1" applyFont="1" applyFill="1" applyBorder="1" applyAlignment="1" applyProtection="1">
      <alignment horizontal="center"/>
      <protection locked="0"/>
    </xf>
    <xf numFmtId="167" fontId="14" fillId="0" borderId="41" xfId="1" applyNumberFormat="1" applyFont="1" applyFill="1" applyBorder="1" applyAlignment="1" applyProtection="1">
      <alignment horizontal="center"/>
      <protection locked="0"/>
    </xf>
    <xf numFmtId="167" fontId="14" fillId="0" borderId="39" xfId="1" applyNumberFormat="1" applyFont="1" applyFill="1" applyBorder="1" applyAlignment="1" applyProtection="1">
      <alignment horizontal="center"/>
    </xf>
    <xf numFmtId="167" fontId="14" fillId="0" borderId="40" xfId="1" applyNumberFormat="1" applyFont="1" applyFill="1" applyBorder="1" applyAlignment="1" applyProtection="1">
      <alignment horizontal="center"/>
    </xf>
    <xf numFmtId="167" fontId="14" fillId="0" borderId="41" xfId="1" applyNumberFormat="1" applyFont="1" applyFill="1" applyBorder="1" applyAlignment="1" applyProtection="1">
      <alignment horizontal="center"/>
    </xf>
    <xf numFmtId="0" fontId="21" fillId="0" borderId="11" xfId="3" applyFont="1" applyBorder="1" applyAlignment="1" applyProtection="1">
      <alignment horizontal="left"/>
      <protection locked="0"/>
    </xf>
    <xf numFmtId="0" fontId="21" fillId="0" borderId="0" xfId="3" applyFont="1" applyAlignment="1" applyProtection="1">
      <alignment horizontal="left"/>
      <protection locked="0"/>
    </xf>
    <xf numFmtId="49" fontId="21" fillId="0" borderId="0" xfId="1" applyNumberFormat="1" applyFont="1" applyFill="1" applyBorder="1" applyAlignment="1" applyProtection="1">
      <alignment horizontal="left"/>
      <protection locked="0"/>
    </xf>
    <xf numFmtId="49" fontId="21" fillId="0" borderId="12" xfId="1" applyNumberFormat="1" applyFont="1" applyFill="1" applyBorder="1" applyAlignment="1" applyProtection="1">
      <alignment horizontal="left"/>
      <protection locked="0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6">
    <cellStyle name="Comma" xfId="1" builtinId="3" customBuiltin="1"/>
    <cellStyle name="Currency" xfId="2" builtinId="4" customBuiltin="1"/>
    <cellStyle name="Normal" xfId="0" builtinId="0" customBuiltin="1"/>
    <cellStyle name="Normal 2" xfId="5" xr:uid="{00000000-0005-0000-0000-000005000000}"/>
    <cellStyle name="Normal_Revised Aggregate 05-01-02 thru 04-30-03" xfId="3" xr:uid="{00000000-0005-0000-0000-000003000000}"/>
    <cellStyle name="Percent" xfId="4" builtinId="5" customBuiltin="1"/>
  </cellStyles>
  <dxfs count="0"/>
  <tableStyles count="0" defaultTableStyle="TableStyleMedium2" defaultPivotStyle="PivotStyleLight16"/>
  <colors>
    <mruColors>
      <color rgb="FF00A1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-server1\Account%20Management\MARKET\CLIENTS\SELF\NorthSuburbanLibrary\2001\MANGCARE\Equivalent%20Rates%200211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IM HIST"/>
      <sheetName val="Parameter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49"/>
  <sheetViews>
    <sheetView showGridLines="0" defaultGridColor="0" colorId="22" zoomScale="10" zoomScaleNormal="75" workbookViewId="0">
      <selection activeCell="AD3" sqref="AD3:CA120"/>
    </sheetView>
  </sheetViews>
  <sheetFormatPr defaultColWidth="12.5546875" defaultRowHeight="15.6"/>
  <cols>
    <col min="1" max="8" width="6.88671875" style="1" customWidth="1"/>
    <col min="9" max="10" width="7.88671875" style="1" customWidth="1"/>
    <col min="11" max="13" width="6.88671875" style="1" customWidth="1"/>
    <col min="14" max="19" width="8.6640625" style="1" customWidth="1"/>
    <col min="20" max="23" width="6.88671875" style="1" customWidth="1"/>
    <col min="24" max="24" width="13.109375" style="1" customWidth="1"/>
    <col min="25" max="27" width="6.88671875" style="1" customWidth="1"/>
    <col min="28" max="31" width="12.5546875" style="2" customWidth="1"/>
    <col min="32" max="32" width="26.6640625" style="2" customWidth="1"/>
    <col min="33" max="36" width="12.5546875" style="2" customWidth="1"/>
    <col min="37" max="37" width="12.5546875" style="1" customWidth="1"/>
    <col min="38" max="16384" width="12.5546875" style="1"/>
  </cols>
  <sheetData>
    <row r="1" spans="1:36" ht="46.8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</row>
    <row r="2" spans="1:36" s="3" customFormat="1" ht="24.6">
      <c r="A2" s="61" t="s">
        <v>69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4"/>
      <c r="AC2" s="4"/>
      <c r="AD2" s="4"/>
      <c r="AE2" s="4"/>
      <c r="AF2" s="4"/>
      <c r="AG2" s="4"/>
      <c r="AH2" s="4"/>
      <c r="AI2" s="4"/>
      <c r="AJ2" s="4"/>
    </row>
    <row r="3" spans="1:36" s="3" customFormat="1" ht="24.6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4"/>
      <c r="AC3" s="4"/>
      <c r="AD3" s="4"/>
      <c r="AE3" s="4"/>
      <c r="AF3" s="4"/>
      <c r="AG3" s="4"/>
      <c r="AH3" s="4"/>
      <c r="AI3" s="4"/>
      <c r="AJ3" s="4"/>
    </row>
    <row r="4" spans="1:36" s="5" customFormat="1" ht="17.399999999999999">
      <c r="A4" s="6"/>
      <c r="B4" s="7"/>
      <c r="C4" s="7"/>
      <c r="D4" s="141" t="s">
        <v>2</v>
      </c>
      <c r="E4" s="141"/>
      <c r="F4" s="141"/>
      <c r="G4" s="140" t="s">
        <v>70</v>
      </c>
      <c r="H4" s="140"/>
      <c r="I4" s="7"/>
      <c r="J4" s="7"/>
      <c r="K4" s="7" t="s">
        <v>3</v>
      </c>
      <c r="L4" s="7"/>
      <c r="M4" s="8" t="s">
        <v>4</v>
      </c>
      <c r="N4" s="9"/>
      <c r="O4" s="9"/>
      <c r="P4" s="9"/>
      <c r="Q4" s="7"/>
      <c r="R4" s="142" t="s">
        <v>5</v>
      </c>
      <c r="S4" s="142"/>
      <c r="T4" s="142"/>
      <c r="U4" s="10">
        <f>COUNTIF(K29:L40,"&gt;0")</f>
        <v>12</v>
      </c>
      <c r="V4" s="10"/>
      <c r="W4" s="7"/>
      <c r="X4" s="7"/>
      <c r="Y4" s="7"/>
      <c r="Z4" s="7"/>
      <c r="AA4" s="11"/>
      <c r="AB4" s="12"/>
      <c r="AC4" s="12"/>
      <c r="AD4" s="12"/>
      <c r="AE4" s="12"/>
      <c r="AF4" s="12"/>
      <c r="AG4" s="12"/>
      <c r="AH4" s="12"/>
      <c r="AI4" s="12"/>
      <c r="AJ4" s="12"/>
    </row>
    <row r="5" spans="1:36" s="13" customFormat="1" ht="11.25" customHeight="1">
      <c r="A5" s="14"/>
      <c r="B5" s="14"/>
      <c r="C5" s="14"/>
      <c r="D5" s="15"/>
      <c r="E5" s="15"/>
      <c r="F5" s="15"/>
      <c r="G5" s="16"/>
      <c r="H5" s="17"/>
      <c r="I5" s="14"/>
      <c r="J5" s="14"/>
      <c r="K5" s="14"/>
      <c r="L5" s="14"/>
      <c r="M5" s="18"/>
      <c r="N5" s="19"/>
      <c r="O5" s="19"/>
      <c r="P5" s="19"/>
      <c r="Q5" s="14"/>
      <c r="R5" s="20"/>
      <c r="S5" s="20"/>
      <c r="T5" s="20"/>
      <c r="U5" s="21"/>
      <c r="V5" s="21"/>
      <c r="W5" s="14"/>
      <c r="X5" s="14"/>
      <c r="Y5" s="14"/>
      <c r="Z5" s="14"/>
      <c r="AA5" s="14"/>
      <c r="AB5" s="22"/>
      <c r="AC5" s="22"/>
      <c r="AD5" s="22"/>
      <c r="AE5" s="22"/>
      <c r="AF5" s="22"/>
      <c r="AG5" s="22"/>
      <c r="AH5" s="22"/>
      <c r="AI5" s="22"/>
      <c r="AJ5" s="22"/>
    </row>
    <row r="6" spans="1:36" s="13" customFormat="1" ht="17.399999999999999">
      <c r="A6" s="74" t="s">
        <v>6</v>
      </c>
      <c r="B6" s="72"/>
      <c r="C6" s="72"/>
      <c r="D6" s="72"/>
      <c r="E6" s="72"/>
      <c r="F6" s="72"/>
      <c r="G6" s="72"/>
      <c r="H6" s="72"/>
      <c r="I6" s="75"/>
      <c r="J6" s="71" t="s">
        <v>7</v>
      </c>
      <c r="K6" s="72"/>
      <c r="L6" s="72"/>
      <c r="M6" s="72"/>
      <c r="N6" s="72"/>
      <c r="O6" s="72"/>
      <c r="P6" s="72"/>
      <c r="Q6" s="72"/>
      <c r="R6" s="75"/>
      <c r="S6" s="71" t="s">
        <v>8</v>
      </c>
      <c r="T6" s="72"/>
      <c r="U6" s="72"/>
      <c r="V6" s="72"/>
      <c r="W6" s="72"/>
      <c r="X6" s="72"/>
      <c r="Y6" s="72"/>
      <c r="Z6" s="72"/>
      <c r="AA6" s="73"/>
      <c r="AB6" s="22"/>
      <c r="AC6" s="22"/>
      <c r="AD6" s="22"/>
      <c r="AE6" s="22"/>
      <c r="AF6" s="22"/>
      <c r="AG6" s="22"/>
      <c r="AH6" s="22"/>
      <c r="AI6" s="22"/>
      <c r="AJ6" s="22"/>
    </row>
    <row r="7" spans="1:36" s="23" customFormat="1" ht="18" customHeight="1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27"/>
      <c r="AC7" s="27"/>
      <c r="AD7" s="27"/>
      <c r="AE7" s="27"/>
      <c r="AF7" s="27"/>
      <c r="AG7" s="27"/>
      <c r="AH7" s="27"/>
      <c r="AI7" s="27"/>
      <c r="AJ7" s="27"/>
    </row>
    <row r="8" spans="1:36" s="23" customFormat="1" ht="18" customHeight="1">
      <c r="A8" s="88" t="s">
        <v>9</v>
      </c>
      <c r="B8" s="89"/>
      <c r="C8" s="89"/>
      <c r="D8" s="89"/>
      <c r="E8" s="96" t="s">
        <v>71</v>
      </c>
      <c r="F8" s="96"/>
      <c r="G8" s="96"/>
      <c r="H8" s="96"/>
      <c r="I8" s="96"/>
      <c r="J8" s="92" t="s">
        <v>10</v>
      </c>
      <c r="K8" s="89"/>
      <c r="L8" s="89"/>
      <c r="M8" s="89"/>
      <c r="N8" s="78" t="s">
        <v>11</v>
      </c>
      <c r="O8" s="78"/>
      <c r="P8" s="78"/>
      <c r="Q8" s="78"/>
      <c r="R8" s="101"/>
      <c r="S8" s="89" t="s">
        <v>12</v>
      </c>
      <c r="T8" s="89"/>
      <c r="U8" s="89"/>
      <c r="V8" s="89"/>
      <c r="W8" s="89"/>
      <c r="X8" s="78" t="s">
        <v>13</v>
      </c>
      <c r="Y8" s="78"/>
      <c r="Z8" s="78"/>
      <c r="AA8" s="79"/>
      <c r="AB8" s="27"/>
      <c r="AC8" s="27"/>
      <c r="AD8" s="27"/>
      <c r="AE8" s="27"/>
      <c r="AF8" s="27"/>
      <c r="AG8" s="27"/>
      <c r="AH8" s="27"/>
      <c r="AI8" s="27"/>
      <c r="AJ8" s="27"/>
    </row>
    <row r="9" spans="1:36" s="23" customFormat="1" ht="18" customHeight="1">
      <c r="A9" s="28"/>
      <c r="B9" s="29"/>
      <c r="C9" s="29"/>
      <c r="D9" s="29"/>
      <c r="E9" s="31"/>
      <c r="F9" s="31"/>
      <c r="G9" s="31"/>
      <c r="H9" s="31"/>
      <c r="I9" s="31"/>
      <c r="J9" s="30"/>
      <c r="K9" s="29"/>
      <c r="L9" s="29"/>
      <c r="M9" s="29"/>
      <c r="N9" s="29"/>
      <c r="O9" s="29"/>
      <c r="P9" s="29"/>
      <c r="Q9" s="29"/>
      <c r="R9" s="32"/>
      <c r="S9" s="107" t="s">
        <v>14</v>
      </c>
      <c r="T9" s="107"/>
      <c r="U9" s="107"/>
      <c r="V9" s="107"/>
      <c r="W9" s="107"/>
      <c r="X9" s="97">
        <v>5555000</v>
      </c>
      <c r="Y9" s="97"/>
      <c r="Z9" s="97"/>
      <c r="AA9" s="33"/>
      <c r="AB9" s="27"/>
      <c r="AC9" s="27"/>
      <c r="AD9" s="27"/>
      <c r="AE9" s="27"/>
      <c r="AF9" s="27"/>
      <c r="AG9" s="27"/>
      <c r="AH9" s="27"/>
      <c r="AI9" s="27"/>
      <c r="AJ9" s="27"/>
    </row>
    <row r="10" spans="1:36" s="23" customFormat="1" ht="18" customHeight="1">
      <c r="A10" s="88" t="s">
        <v>15</v>
      </c>
      <c r="B10" s="89"/>
      <c r="C10" s="89"/>
      <c r="D10" s="89"/>
      <c r="E10" s="96" t="s">
        <v>72</v>
      </c>
      <c r="F10" s="96"/>
      <c r="G10" s="96"/>
      <c r="H10" s="96"/>
      <c r="I10" s="96"/>
      <c r="J10" s="93" t="s">
        <v>16</v>
      </c>
      <c r="K10" s="94"/>
      <c r="L10" s="94"/>
      <c r="M10" s="94"/>
      <c r="N10" s="29"/>
      <c r="O10" s="29"/>
      <c r="P10" s="29"/>
      <c r="Q10" s="29"/>
      <c r="R10" s="32"/>
      <c r="S10" s="89" t="s">
        <v>17</v>
      </c>
      <c r="T10" s="89"/>
      <c r="U10" s="89"/>
      <c r="V10" s="89"/>
      <c r="W10" s="89"/>
      <c r="X10" s="76" t="s">
        <v>18</v>
      </c>
      <c r="Y10" s="76"/>
      <c r="Z10" s="76"/>
      <c r="AA10" s="77"/>
      <c r="AB10" s="27"/>
      <c r="AC10" s="27"/>
      <c r="AD10" s="27"/>
      <c r="AE10" s="27"/>
      <c r="AF10" s="27"/>
      <c r="AG10" s="27"/>
      <c r="AH10" s="27"/>
      <c r="AI10" s="27"/>
      <c r="AJ10" s="27"/>
    </row>
    <row r="11" spans="1:36" s="23" customFormat="1" ht="18" customHeight="1">
      <c r="A11" s="28"/>
      <c r="B11" s="29"/>
      <c r="C11" s="29"/>
      <c r="D11" s="29"/>
      <c r="E11" s="34"/>
      <c r="F11" s="31"/>
      <c r="G11" s="31"/>
      <c r="H11" s="31"/>
      <c r="I11" s="31"/>
      <c r="J11" s="92" t="s">
        <v>19</v>
      </c>
      <c r="K11" s="89"/>
      <c r="L11" s="89"/>
      <c r="M11" s="102">
        <v>119.98</v>
      </c>
      <c r="N11" s="102"/>
      <c r="O11" s="104" t="s">
        <v>20</v>
      </c>
      <c r="P11" s="104"/>
      <c r="Q11" s="102">
        <v>145.35</v>
      </c>
      <c r="R11" s="103"/>
      <c r="S11" s="89" t="s">
        <v>21</v>
      </c>
      <c r="T11" s="89"/>
      <c r="U11" s="89"/>
      <c r="V11" s="89"/>
      <c r="W11" s="89"/>
      <c r="X11" s="105">
        <v>0</v>
      </c>
      <c r="Y11" s="105"/>
      <c r="Z11" s="105"/>
      <c r="AA11" s="106"/>
      <c r="AB11" s="27"/>
      <c r="AC11" s="27"/>
      <c r="AD11" s="27"/>
      <c r="AE11" s="27"/>
      <c r="AF11" s="27"/>
      <c r="AG11" s="27"/>
      <c r="AH11" s="27"/>
      <c r="AI11" s="27"/>
      <c r="AJ11" s="27"/>
    </row>
    <row r="12" spans="1:36" s="23" customFormat="1" ht="18" customHeight="1">
      <c r="A12" s="88" t="s">
        <v>22</v>
      </c>
      <c r="B12" s="89"/>
      <c r="C12" s="89"/>
      <c r="D12" s="89"/>
      <c r="E12" s="96" t="s">
        <v>73</v>
      </c>
      <c r="F12" s="96"/>
      <c r="G12" s="96"/>
      <c r="H12" s="96"/>
      <c r="I12" s="96"/>
      <c r="J12" s="92" t="s">
        <v>23</v>
      </c>
      <c r="K12" s="89"/>
      <c r="L12" s="89"/>
      <c r="M12" s="102">
        <v>1346.31</v>
      </c>
      <c r="N12" s="102"/>
      <c r="O12" s="104" t="s">
        <v>24</v>
      </c>
      <c r="P12" s="104"/>
      <c r="Q12" s="102">
        <v>999.29</v>
      </c>
      <c r="R12" s="103"/>
      <c r="Y12" s="29"/>
      <c r="Z12" s="36"/>
      <c r="AA12" s="37"/>
      <c r="AB12" s="27"/>
      <c r="AC12" s="27"/>
      <c r="AD12" s="27"/>
      <c r="AE12" s="27"/>
      <c r="AF12" s="27"/>
      <c r="AG12" s="27"/>
      <c r="AH12" s="27"/>
      <c r="AI12" s="27"/>
      <c r="AJ12" s="27"/>
    </row>
    <row r="13" spans="1:36" s="23" customFormat="1" ht="18" customHeight="1">
      <c r="A13" s="28"/>
      <c r="B13" s="29"/>
      <c r="C13" s="29"/>
      <c r="D13" s="29"/>
      <c r="E13" s="34"/>
      <c r="F13" s="31"/>
      <c r="G13" s="31"/>
      <c r="H13" s="31"/>
      <c r="I13" s="31"/>
      <c r="J13" s="30"/>
      <c r="K13" s="29"/>
      <c r="L13" s="29"/>
      <c r="M13" s="29"/>
      <c r="N13" s="35"/>
      <c r="O13" s="35"/>
      <c r="P13" s="35"/>
      <c r="Q13" s="35"/>
      <c r="R13" s="38"/>
      <c r="S13" s="98" t="s">
        <v>25</v>
      </c>
      <c r="T13" s="99"/>
      <c r="U13" s="99"/>
      <c r="V13" s="99"/>
      <c r="W13" s="99"/>
      <c r="X13" s="99"/>
      <c r="Y13" s="99"/>
      <c r="Z13" s="99"/>
      <c r="AA13" s="100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6" s="23" customFormat="1" ht="18" customHeight="1">
      <c r="A14" s="88" t="s">
        <v>26</v>
      </c>
      <c r="B14" s="89"/>
      <c r="C14" s="89"/>
      <c r="D14" s="89"/>
      <c r="E14" s="96" t="s">
        <v>74</v>
      </c>
      <c r="F14" s="96"/>
      <c r="G14" s="96"/>
      <c r="H14" s="96"/>
      <c r="I14" s="96"/>
      <c r="J14" s="92" t="s">
        <v>27</v>
      </c>
      <c r="K14" s="89"/>
      <c r="L14" s="89"/>
      <c r="M14" s="89"/>
      <c r="N14" s="113">
        <v>7789100</v>
      </c>
      <c r="O14" s="113"/>
      <c r="P14" s="113"/>
      <c r="Q14" s="113"/>
      <c r="R14" s="114"/>
      <c r="S14" s="39">
        <v>1</v>
      </c>
      <c r="T14" s="82" t="s">
        <v>28</v>
      </c>
      <c r="U14" s="82"/>
      <c r="V14" s="82"/>
      <c r="W14" s="82"/>
      <c r="X14" s="82"/>
      <c r="Y14" s="85">
        <v>75000</v>
      </c>
      <c r="Z14" s="85"/>
      <c r="AA14" s="86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1:36" s="23" customFormat="1" ht="18" customHeight="1">
      <c r="A15" s="28"/>
      <c r="B15" s="29"/>
      <c r="C15" s="29"/>
      <c r="D15" s="29"/>
      <c r="E15" s="31"/>
      <c r="F15" s="31"/>
      <c r="G15" s="31"/>
      <c r="H15" s="31"/>
      <c r="I15" s="31"/>
      <c r="J15" s="30"/>
      <c r="K15" s="29"/>
      <c r="L15" s="29"/>
      <c r="M15" s="29"/>
      <c r="N15" s="29"/>
      <c r="O15" s="29"/>
      <c r="P15" s="29"/>
      <c r="Q15" s="29"/>
      <c r="R15" s="32"/>
      <c r="S15" s="39">
        <v>2</v>
      </c>
      <c r="T15" s="82" t="s">
        <v>29</v>
      </c>
      <c r="U15" s="82"/>
      <c r="V15" s="82"/>
      <c r="W15" s="82"/>
      <c r="X15" s="82"/>
      <c r="Y15" s="85">
        <v>75000</v>
      </c>
      <c r="Z15" s="85"/>
      <c r="AA15" s="86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1:36" s="23" customFormat="1" ht="18" customHeight="1">
      <c r="A16" s="88" t="s">
        <v>30</v>
      </c>
      <c r="B16" s="89"/>
      <c r="C16" s="89"/>
      <c r="D16" s="89"/>
      <c r="E16" s="96" t="s">
        <v>31</v>
      </c>
      <c r="F16" s="96"/>
      <c r="G16" s="96"/>
      <c r="H16" s="96"/>
      <c r="I16" s="96"/>
      <c r="J16" s="92" t="s">
        <v>32</v>
      </c>
      <c r="K16" s="89"/>
      <c r="L16" s="89"/>
      <c r="M16" s="89"/>
      <c r="N16" s="78" t="s">
        <v>33</v>
      </c>
      <c r="O16" s="78"/>
      <c r="P16" s="78"/>
      <c r="Q16" s="78"/>
      <c r="R16" s="101"/>
      <c r="S16" s="39">
        <v>3</v>
      </c>
      <c r="T16" s="82" t="s">
        <v>34</v>
      </c>
      <c r="U16" s="82"/>
      <c r="V16" s="82"/>
      <c r="W16" s="82"/>
      <c r="X16" s="82"/>
      <c r="Y16" s="85"/>
      <c r="Z16" s="85"/>
      <c r="AA16" s="86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1:44" s="23" customFormat="1" ht="18" customHeight="1">
      <c r="A17" s="28"/>
      <c r="B17" s="29"/>
      <c r="C17" s="29"/>
      <c r="D17" s="29"/>
      <c r="E17" s="31"/>
      <c r="F17" s="31"/>
      <c r="G17" s="31"/>
      <c r="H17" s="31"/>
      <c r="I17" s="31"/>
      <c r="J17" s="30"/>
      <c r="K17" s="29"/>
      <c r="L17" s="29"/>
      <c r="M17" s="29"/>
      <c r="N17" s="29"/>
      <c r="O17" s="29"/>
      <c r="P17" s="29"/>
      <c r="Q17" s="29"/>
      <c r="R17" s="32"/>
      <c r="S17" s="39">
        <v>4</v>
      </c>
      <c r="T17" s="82" t="s">
        <v>34</v>
      </c>
      <c r="U17" s="82"/>
      <c r="V17" s="82"/>
      <c r="W17" s="82"/>
      <c r="X17" s="82"/>
      <c r="Y17" s="85"/>
      <c r="Z17" s="85"/>
      <c r="AA17" s="86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1:44" s="23" customFormat="1" ht="18" customHeight="1">
      <c r="A18" s="95" t="s">
        <v>35</v>
      </c>
      <c r="B18" s="91"/>
      <c r="C18" s="91"/>
      <c r="D18" s="91"/>
      <c r="E18" s="124" t="s">
        <v>36</v>
      </c>
      <c r="F18" s="124"/>
      <c r="G18" s="124"/>
      <c r="H18" s="124"/>
      <c r="I18" s="124"/>
      <c r="J18" s="90" t="s">
        <v>37</v>
      </c>
      <c r="K18" s="91"/>
      <c r="L18" s="91"/>
      <c r="M18" s="91"/>
      <c r="N18" s="119" t="s">
        <v>38</v>
      </c>
      <c r="O18" s="119"/>
      <c r="P18" s="119"/>
      <c r="Q18" s="119"/>
      <c r="R18" s="120"/>
      <c r="S18" s="40">
        <v>5</v>
      </c>
      <c r="T18" s="87" t="s">
        <v>34</v>
      </c>
      <c r="U18" s="87"/>
      <c r="V18" s="87"/>
      <c r="W18" s="87"/>
      <c r="X18" s="87"/>
      <c r="Y18" s="83"/>
      <c r="Z18" s="83"/>
      <c r="AA18" s="84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1:44" s="13" customFormat="1" ht="11.25" customHeight="1">
      <c r="A19" s="14"/>
      <c r="B19" s="14"/>
      <c r="C19" s="14"/>
      <c r="D19" s="15"/>
      <c r="E19" s="15"/>
      <c r="F19" s="15"/>
      <c r="G19" s="16"/>
      <c r="H19" s="17"/>
      <c r="I19" s="14"/>
      <c r="J19" s="14"/>
      <c r="K19" s="14"/>
      <c r="L19" s="14"/>
      <c r="M19" s="18"/>
      <c r="N19" s="19"/>
      <c r="O19" s="19"/>
      <c r="P19" s="19"/>
      <c r="Q19" s="14"/>
      <c r="R19" s="20"/>
      <c r="S19" s="20"/>
      <c r="T19" s="20"/>
      <c r="U19" s="21"/>
      <c r="V19" s="21"/>
      <c r="W19" s="14"/>
      <c r="X19" s="14"/>
      <c r="Y19" s="14"/>
      <c r="Z19" s="14"/>
      <c r="AA19" s="14"/>
      <c r="AB19" s="22"/>
      <c r="AC19" s="22"/>
      <c r="AD19" s="22"/>
      <c r="AE19" s="22"/>
      <c r="AF19" s="22"/>
      <c r="AG19" s="22"/>
      <c r="AH19" s="22"/>
      <c r="AI19" s="22"/>
      <c r="AJ19" s="22"/>
    </row>
    <row r="20" spans="1:44" s="13" customFormat="1" ht="17.399999999999999">
      <c r="A20" s="108" t="s">
        <v>39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10"/>
      <c r="AB20" s="22"/>
      <c r="AC20" s="22"/>
      <c r="AD20" s="22"/>
      <c r="AE20" s="22"/>
      <c r="AF20" s="22"/>
      <c r="AG20" s="22"/>
      <c r="AH20" s="22"/>
      <c r="AI20" s="22"/>
      <c r="AJ20" s="22"/>
    </row>
    <row r="21" spans="1:44" s="13" customFormat="1" ht="18" customHeight="1">
      <c r="A21" s="41">
        <v>1</v>
      </c>
      <c r="B21" s="121" t="s">
        <v>40</v>
      </c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42">
        <v>6</v>
      </c>
      <c r="O21" s="80" t="s">
        <v>41</v>
      </c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1"/>
      <c r="AB21" s="22"/>
      <c r="AC21" s="22"/>
      <c r="AD21" s="22"/>
      <c r="AE21" s="22"/>
      <c r="AF21" s="22"/>
      <c r="AG21" s="22"/>
      <c r="AH21" s="22"/>
      <c r="AI21" s="22"/>
      <c r="AJ21" s="22"/>
    </row>
    <row r="22" spans="1:44" s="22" customFormat="1" ht="18" customHeight="1">
      <c r="A22" s="43">
        <v>2</v>
      </c>
      <c r="B22" s="112" t="s">
        <v>42</v>
      </c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44">
        <v>7</v>
      </c>
      <c r="O22" s="117" t="s">
        <v>41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8"/>
    </row>
    <row r="23" spans="1:44" s="22" customFormat="1" ht="18" customHeight="1">
      <c r="A23" s="43">
        <v>3</v>
      </c>
      <c r="B23" s="112" t="s">
        <v>43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44">
        <v>8</v>
      </c>
      <c r="O23" s="115" t="s">
        <v>41</v>
      </c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6"/>
    </row>
    <row r="24" spans="1:44" s="22" customFormat="1" ht="18" customHeight="1">
      <c r="A24" s="43">
        <v>4</v>
      </c>
      <c r="B24" s="112" t="s">
        <v>41</v>
      </c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44">
        <v>9</v>
      </c>
      <c r="O24" s="115" t="s">
        <v>41</v>
      </c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6"/>
    </row>
    <row r="25" spans="1:44" s="22" customFormat="1" ht="18" customHeight="1">
      <c r="A25" s="45">
        <v>5</v>
      </c>
      <c r="B25" s="111" t="s">
        <v>41</v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40">
        <v>10</v>
      </c>
      <c r="O25" s="122" t="s">
        <v>41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3"/>
    </row>
    <row r="26" spans="1:44" s="13" customFormat="1" ht="11.25" customHeight="1" thickBot="1">
      <c r="A26" s="14"/>
      <c r="B26" s="14"/>
      <c r="C26" s="14"/>
      <c r="D26" s="15"/>
      <c r="E26" s="15"/>
      <c r="F26" s="15"/>
      <c r="G26" s="16"/>
      <c r="H26" s="17"/>
      <c r="I26" s="14"/>
      <c r="J26" s="14"/>
      <c r="K26" s="14"/>
      <c r="L26" s="14"/>
      <c r="M26" s="18"/>
      <c r="N26" s="19"/>
      <c r="O26" s="19"/>
      <c r="P26" s="19"/>
      <c r="Q26" s="14"/>
      <c r="R26" s="20"/>
      <c r="S26" s="20"/>
      <c r="T26" s="20"/>
      <c r="U26" s="21"/>
      <c r="V26" s="21"/>
      <c r="W26" s="14"/>
      <c r="X26" s="14"/>
      <c r="Y26" s="14"/>
      <c r="Z26" s="14"/>
      <c r="AA26" s="14"/>
      <c r="AB26" s="22"/>
      <c r="AC26" s="22"/>
      <c r="AD26" s="22"/>
      <c r="AE26" s="22"/>
      <c r="AF26" s="22"/>
      <c r="AG26" s="22"/>
      <c r="AH26" s="22"/>
      <c r="AI26" s="22"/>
      <c r="AJ26" s="22"/>
    </row>
    <row r="27" spans="1:44" s="13" customFormat="1" ht="22.5" customHeight="1">
      <c r="A27" s="163" t="s">
        <v>44</v>
      </c>
      <c r="B27" s="164"/>
      <c r="C27" s="167" t="s">
        <v>45</v>
      </c>
      <c r="D27" s="168"/>
      <c r="E27" s="168"/>
      <c r="F27" s="168"/>
      <c r="G27" s="168"/>
      <c r="H27" s="168"/>
      <c r="I27" s="168"/>
      <c r="J27" s="168"/>
      <c r="K27" s="168"/>
      <c r="L27" s="169"/>
      <c r="M27" s="170" t="s">
        <v>46</v>
      </c>
      <c r="N27" s="170"/>
      <c r="O27" s="170"/>
      <c r="P27" s="164" t="s">
        <v>47</v>
      </c>
      <c r="Q27" s="164"/>
      <c r="R27" s="164"/>
      <c r="S27" s="164" t="s">
        <v>117</v>
      </c>
      <c r="T27" s="164"/>
      <c r="U27" s="164"/>
      <c r="V27" s="65" t="s">
        <v>114</v>
      </c>
      <c r="W27" s="66"/>
      <c r="X27" s="67"/>
      <c r="Y27" s="164" t="s">
        <v>48</v>
      </c>
      <c r="Z27" s="164"/>
      <c r="AA27" s="172"/>
      <c r="AB27" s="22"/>
      <c r="AC27" s="22"/>
      <c r="AD27" s="22"/>
      <c r="AE27" s="22"/>
      <c r="AF27" s="22"/>
      <c r="AG27" s="22"/>
      <c r="AH27" s="22"/>
      <c r="AI27" s="22"/>
      <c r="AJ27" s="22"/>
    </row>
    <row r="28" spans="1:44" s="13" customFormat="1" ht="22.5" customHeight="1">
      <c r="A28" s="165"/>
      <c r="B28" s="166"/>
      <c r="C28" s="127" t="s">
        <v>49</v>
      </c>
      <c r="D28" s="127"/>
      <c r="E28" s="127" t="s">
        <v>50</v>
      </c>
      <c r="F28" s="127"/>
      <c r="G28" s="127" t="s">
        <v>51</v>
      </c>
      <c r="H28" s="127"/>
      <c r="I28" s="127" t="s">
        <v>52</v>
      </c>
      <c r="J28" s="127"/>
      <c r="K28" s="127" t="s">
        <v>53</v>
      </c>
      <c r="L28" s="127"/>
      <c r="M28" s="171"/>
      <c r="N28" s="171"/>
      <c r="O28" s="171"/>
      <c r="P28" s="166"/>
      <c r="Q28" s="166"/>
      <c r="R28" s="166"/>
      <c r="S28" s="166"/>
      <c r="T28" s="166"/>
      <c r="U28" s="166"/>
      <c r="V28" s="68"/>
      <c r="W28" s="69"/>
      <c r="X28" s="70"/>
      <c r="Y28" s="166"/>
      <c r="Z28" s="166"/>
      <c r="AA28" s="173"/>
      <c r="AB28" s="22"/>
      <c r="AC28" s="22"/>
      <c r="AD28" s="22"/>
      <c r="AE28" s="22"/>
      <c r="AF28" s="22"/>
      <c r="AG28" s="22"/>
      <c r="AH28" s="22"/>
      <c r="AI28" s="22"/>
      <c r="AJ28" s="22"/>
    </row>
    <row r="29" spans="1:44" s="13" customFormat="1" ht="18" customHeight="1">
      <c r="A29" s="143" t="s">
        <v>54</v>
      </c>
      <c r="B29" s="144"/>
      <c r="C29" s="64">
        <v>1</v>
      </c>
      <c r="D29" s="64"/>
      <c r="E29" s="134">
        <v>3</v>
      </c>
      <c r="F29" s="134"/>
      <c r="G29" s="125">
        <v>5</v>
      </c>
      <c r="H29" s="125"/>
      <c r="I29" s="125">
        <v>7</v>
      </c>
      <c r="J29" s="125"/>
      <c r="K29" s="126">
        <f t="shared" ref="K29:K40" si="0">IF(AND(C29="",E29="",G29="",I29=""),"-",SUM(C29:J29))</f>
        <v>16</v>
      </c>
      <c r="L29" s="126"/>
      <c r="M29" s="150">
        <v>3285.7899999999972</v>
      </c>
      <c r="N29" s="151"/>
      <c r="O29" s="152"/>
      <c r="P29" s="153">
        <v>3285.7899999999972</v>
      </c>
      <c r="Q29" s="153"/>
      <c r="R29" s="153"/>
      <c r="S29" s="154">
        <v>25426</v>
      </c>
      <c r="T29" s="155"/>
      <c r="U29" s="156"/>
      <c r="V29" s="62">
        <v>19133.71</v>
      </c>
      <c r="W29" s="62"/>
      <c r="X29" s="62"/>
      <c r="Y29" s="145">
        <f t="shared" ref="Y29:Y41" si="1">IF(+S29-P29&lt;0,0,+S29+-P29)</f>
        <v>22140.210000000003</v>
      </c>
      <c r="Z29" s="145"/>
      <c r="AA29" s="146"/>
      <c r="AB29" s="46"/>
      <c r="AC29" s="22"/>
      <c r="AD29" s="22"/>
      <c r="AE29" s="22"/>
      <c r="AF29" s="47"/>
      <c r="AG29" s="48"/>
      <c r="AH29" s="48"/>
      <c r="AI29" s="48"/>
      <c r="AJ29" s="48"/>
      <c r="AK29" s="48"/>
      <c r="AL29" s="48"/>
      <c r="AM29" s="48"/>
      <c r="AN29" s="49"/>
      <c r="AO29" s="49"/>
      <c r="AP29" s="49"/>
      <c r="AQ29" s="49"/>
      <c r="AR29" s="49"/>
    </row>
    <row r="30" spans="1:44" s="13" customFormat="1" ht="18" customHeight="1">
      <c r="A30" s="143" t="s">
        <v>55</v>
      </c>
      <c r="B30" s="144"/>
      <c r="C30" s="64">
        <v>49</v>
      </c>
      <c r="D30" s="64"/>
      <c r="E30" s="134">
        <v>3</v>
      </c>
      <c r="F30" s="134"/>
      <c r="G30" s="125">
        <v>5</v>
      </c>
      <c r="H30" s="125"/>
      <c r="I30" s="125">
        <v>7</v>
      </c>
      <c r="J30" s="125"/>
      <c r="K30" s="126">
        <f t="shared" si="0"/>
        <v>64</v>
      </c>
      <c r="L30" s="126"/>
      <c r="M30" s="131">
        <v>17974.23</v>
      </c>
      <c r="N30" s="132"/>
      <c r="O30" s="133"/>
      <c r="P30" s="137">
        <v>21260.019999999997</v>
      </c>
      <c r="Q30" s="137"/>
      <c r="R30" s="137"/>
      <c r="S30" s="128">
        <v>31078</v>
      </c>
      <c r="T30" s="129"/>
      <c r="U30" s="130"/>
      <c r="V30" s="63">
        <v>21232.68</v>
      </c>
      <c r="W30" s="63"/>
      <c r="X30" s="63"/>
      <c r="Y30" s="147">
        <f t="shared" si="1"/>
        <v>9817.9800000000032</v>
      </c>
      <c r="Z30" s="147"/>
      <c r="AA30" s="148"/>
      <c r="AB30" s="50"/>
      <c r="AC30" s="22"/>
      <c r="AD30" s="22"/>
      <c r="AE30" s="22"/>
      <c r="AF30" s="51"/>
      <c r="AG30" s="48"/>
      <c r="AH30" s="48"/>
      <c r="AI30" s="48"/>
      <c r="AJ30" s="48"/>
      <c r="AK30" s="48"/>
      <c r="AL30" s="48"/>
      <c r="AM30" s="48"/>
      <c r="AN30" s="49"/>
      <c r="AO30" s="49"/>
      <c r="AP30" s="49"/>
      <c r="AQ30" s="49"/>
      <c r="AR30" s="49"/>
    </row>
    <row r="31" spans="1:44" s="13" customFormat="1" ht="18" customHeight="1">
      <c r="A31" s="143" t="s">
        <v>56</v>
      </c>
      <c r="B31" s="144"/>
      <c r="C31" s="64">
        <v>48</v>
      </c>
      <c r="D31" s="64"/>
      <c r="E31" s="134">
        <v>3</v>
      </c>
      <c r="F31" s="134"/>
      <c r="G31" s="125">
        <v>5</v>
      </c>
      <c r="H31" s="125"/>
      <c r="I31" s="125">
        <v>6</v>
      </c>
      <c r="J31" s="125"/>
      <c r="K31" s="126">
        <f t="shared" si="0"/>
        <v>62</v>
      </c>
      <c r="L31" s="126"/>
      <c r="M31" s="131">
        <v>5544.2199999999993</v>
      </c>
      <c r="N31" s="132"/>
      <c r="O31" s="133"/>
      <c r="P31" s="137">
        <v>26804.239999999998</v>
      </c>
      <c r="Q31" s="137"/>
      <c r="R31" s="137"/>
      <c r="S31" s="128">
        <v>12659</v>
      </c>
      <c r="T31" s="129"/>
      <c r="U31" s="130"/>
      <c r="V31" s="63">
        <v>10271.14</v>
      </c>
      <c r="W31" s="63"/>
      <c r="X31" s="63"/>
      <c r="Y31" s="147">
        <f t="shared" si="1"/>
        <v>0</v>
      </c>
      <c r="Z31" s="147"/>
      <c r="AA31" s="148"/>
      <c r="AB31" s="50"/>
      <c r="AC31" s="22"/>
      <c r="AD31" s="22"/>
      <c r="AE31" s="22"/>
      <c r="AF31" s="51"/>
      <c r="AG31" s="48"/>
      <c r="AH31" s="48"/>
      <c r="AI31" s="48"/>
      <c r="AJ31" s="48"/>
      <c r="AK31" s="48"/>
      <c r="AL31" s="48"/>
      <c r="AM31" s="48"/>
      <c r="AN31" s="49"/>
      <c r="AO31" s="49"/>
      <c r="AP31" s="49"/>
      <c r="AQ31" s="49"/>
      <c r="AR31" s="49"/>
    </row>
    <row r="32" spans="1:44" s="13" customFormat="1" ht="18" customHeight="1">
      <c r="A32" s="143" t="s">
        <v>57</v>
      </c>
      <c r="B32" s="144"/>
      <c r="C32" s="64">
        <v>444</v>
      </c>
      <c r="D32" s="64"/>
      <c r="E32" s="134">
        <v>4</v>
      </c>
      <c r="F32" s="134"/>
      <c r="G32" s="125">
        <v>5</v>
      </c>
      <c r="H32" s="125"/>
      <c r="I32" s="125">
        <v>6</v>
      </c>
      <c r="J32" s="125"/>
      <c r="K32" s="126">
        <f t="shared" si="0"/>
        <v>459</v>
      </c>
      <c r="L32" s="126"/>
      <c r="M32" s="131">
        <v>5458.11</v>
      </c>
      <c r="N32" s="132"/>
      <c r="O32" s="133"/>
      <c r="P32" s="137">
        <v>32262.35</v>
      </c>
      <c r="Q32" s="137"/>
      <c r="R32" s="137"/>
      <c r="S32" s="128">
        <v>6536</v>
      </c>
      <c r="T32" s="129"/>
      <c r="U32" s="130"/>
      <c r="V32" s="64">
        <v>4565.29</v>
      </c>
      <c r="W32" s="64"/>
      <c r="X32" s="64"/>
      <c r="Y32" s="147">
        <f t="shared" si="1"/>
        <v>0</v>
      </c>
      <c r="Z32" s="147"/>
      <c r="AA32" s="148"/>
      <c r="AB32" s="50"/>
      <c r="AC32" s="22"/>
      <c r="AD32" s="22"/>
      <c r="AE32" s="22"/>
      <c r="AF32" s="51"/>
      <c r="AG32" s="48"/>
      <c r="AH32" s="48"/>
      <c r="AI32" s="48"/>
      <c r="AJ32" s="48"/>
      <c r="AK32" s="48"/>
      <c r="AL32" s="48"/>
      <c r="AM32" s="48"/>
      <c r="AN32" s="49"/>
      <c r="AO32" s="49"/>
      <c r="AP32" s="49"/>
      <c r="AQ32" s="49"/>
      <c r="AR32" s="49"/>
    </row>
    <row r="33" spans="1:44" s="13" customFormat="1" ht="18" customHeight="1">
      <c r="A33" s="143" t="s">
        <v>58</v>
      </c>
      <c r="B33" s="144"/>
      <c r="C33" s="64">
        <v>55</v>
      </c>
      <c r="D33" s="64"/>
      <c r="E33" s="134">
        <v>3</v>
      </c>
      <c r="F33" s="134"/>
      <c r="G33" s="125">
        <v>7</v>
      </c>
      <c r="H33" s="125"/>
      <c r="I33" s="125">
        <v>5</v>
      </c>
      <c r="J33" s="125"/>
      <c r="K33" s="126">
        <f t="shared" si="0"/>
        <v>70</v>
      </c>
      <c r="L33" s="126"/>
      <c r="M33" s="131">
        <v>27724.219999999998</v>
      </c>
      <c r="N33" s="132"/>
      <c r="O33" s="133"/>
      <c r="P33" s="137">
        <v>59986.569999999992</v>
      </c>
      <c r="Q33" s="137"/>
      <c r="R33" s="137"/>
      <c r="S33" s="128">
        <v>27995</v>
      </c>
      <c r="T33" s="129"/>
      <c r="U33" s="130"/>
      <c r="V33" s="64">
        <v>24266.05</v>
      </c>
      <c r="W33" s="64"/>
      <c r="X33" s="64"/>
      <c r="Y33" s="147">
        <f t="shared" si="1"/>
        <v>0</v>
      </c>
      <c r="Z33" s="147"/>
      <c r="AA33" s="148"/>
      <c r="AB33" s="50"/>
      <c r="AC33" s="22"/>
      <c r="AD33" s="22"/>
      <c r="AE33" s="22"/>
      <c r="AF33" s="51"/>
      <c r="AG33" s="48"/>
      <c r="AH33" s="48"/>
      <c r="AI33" s="48"/>
      <c r="AJ33" s="48"/>
      <c r="AK33" s="48"/>
      <c r="AL33" s="48"/>
      <c r="AM33" s="48"/>
      <c r="AN33" s="49"/>
      <c r="AO33" s="49"/>
      <c r="AP33" s="49"/>
      <c r="AQ33" s="49"/>
      <c r="AR33" s="49"/>
    </row>
    <row r="34" spans="1:44" s="13" customFormat="1" ht="18" customHeight="1">
      <c r="A34" s="143" t="s">
        <v>59</v>
      </c>
      <c r="B34" s="144"/>
      <c r="C34" s="64">
        <v>52</v>
      </c>
      <c r="D34" s="64"/>
      <c r="E34" s="134">
        <v>2</v>
      </c>
      <c r="F34" s="134"/>
      <c r="G34" s="125">
        <v>6</v>
      </c>
      <c r="H34" s="125"/>
      <c r="I34" s="125">
        <v>99</v>
      </c>
      <c r="J34" s="125"/>
      <c r="K34" s="126">
        <f t="shared" si="0"/>
        <v>159</v>
      </c>
      <c r="L34" s="126"/>
      <c r="M34" s="131">
        <v>9727.93</v>
      </c>
      <c r="N34" s="132"/>
      <c r="O34" s="133"/>
      <c r="P34" s="137">
        <v>69714.5</v>
      </c>
      <c r="Q34" s="137"/>
      <c r="R34" s="137"/>
      <c r="S34" s="128">
        <v>13866</v>
      </c>
      <c r="T34" s="129"/>
      <c r="U34" s="130"/>
      <c r="V34" s="64">
        <v>10632.56</v>
      </c>
      <c r="W34" s="64"/>
      <c r="X34" s="64"/>
      <c r="Y34" s="147">
        <f t="shared" si="1"/>
        <v>0</v>
      </c>
      <c r="Z34" s="147"/>
      <c r="AA34" s="148"/>
      <c r="AB34" s="50"/>
      <c r="AC34" s="22"/>
      <c r="AD34" s="22"/>
      <c r="AE34" s="22"/>
      <c r="AF34" s="51"/>
      <c r="AG34" s="48"/>
      <c r="AH34" s="48"/>
      <c r="AI34" s="48"/>
      <c r="AJ34" s="48"/>
      <c r="AK34" s="48"/>
      <c r="AL34" s="48"/>
      <c r="AM34" s="48"/>
      <c r="AN34" s="49"/>
      <c r="AO34" s="49"/>
      <c r="AP34" s="49"/>
      <c r="AQ34" s="49"/>
      <c r="AR34" s="49"/>
    </row>
    <row r="35" spans="1:44" s="13" customFormat="1" ht="18" customHeight="1">
      <c r="A35" s="143" t="s">
        <v>60</v>
      </c>
      <c r="B35" s="144"/>
      <c r="C35" s="64">
        <v>56</v>
      </c>
      <c r="D35" s="64"/>
      <c r="E35" s="134">
        <v>2</v>
      </c>
      <c r="F35" s="134"/>
      <c r="G35" s="125">
        <v>4</v>
      </c>
      <c r="H35" s="125"/>
      <c r="I35" s="125">
        <v>5</v>
      </c>
      <c r="J35" s="125"/>
      <c r="K35" s="126">
        <f t="shared" si="0"/>
        <v>67</v>
      </c>
      <c r="L35" s="126"/>
      <c r="M35" s="131">
        <v>18319.260000000002</v>
      </c>
      <c r="N35" s="132"/>
      <c r="O35" s="133"/>
      <c r="P35" s="137">
        <v>88033.760000000009</v>
      </c>
      <c r="Q35" s="137"/>
      <c r="R35" s="137"/>
      <c r="S35" s="128">
        <v>36359</v>
      </c>
      <c r="T35" s="129"/>
      <c r="U35" s="130"/>
      <c r="V35" s="64">
        <v>33630.32</v>
      </c>
      <c r="W35" s="64"/>
      <c r="X35" s="64"/>
      <c r="Y35" s="147">
        <f t="shared" si="1"/>
        <v>0</v>
      </c>
      <c r="Z35" s="147"/>
      <c r="AA35" s="148"/>
      <c r="AB35" s="50"/>
      <c r="AC35" s="22"/>
      <c r="AD35" s="22"/>
      <c r="AE35" s="22"/>
      <c r="AF35" s="51"/>
      <c r="AG35" s="48"/>
      <c r="AH35" s="48"/>
      <c r="AI35" s="48"/>
      <c r="AJ35" s="48"/>
      <c r="AK35" s="48"/>
      <c r="AL35" s="48"/>
      <c r="AM35" s="48"/>
      <c r="AN35" s="49"/>
      <c r="AO35" s="49"/>
      <c r="AP35" s="49"/>
      <c r="AQ35" s="49"/>
      <c r="AR35" s="49"/>
    </row>
    <row r="36" spans="1:44" s="13" customFormat="1" ht="18" customHeight="1">
      <c r="A36" s="143" t="s">
        <v>61</v>
      </c>
      <c r="B36" s="144"/>
      <c r="C36" s="64">
        <v>56</v>
      </c>
      <c r="D36" s="64"/>
      <c r="E36" s="134">
        <v>4</v>
      </c>
      <c r="F36" s="134"/>
      <c r="G36" s="125">
        <v>4</v>
      </c>
      <c r="H36" s="125"/>
      <c r="I36" s="125">
        <v>5</v>
      </c>
      <c r="J36" s="125"/>
      <c r="K36" s="126">
        <f t="shared" si="0"/>
        <v>69</v>
      </c>
      <c r="L36" s="126"/>
      <c r="M36" s="131">
        <v>21007.73</v>
      </c>
      <c r="N36" s="132"/>
      <c r="O36" s="133"/>
      <c r="P36" s="137">
        <v>109041.49</v>
      </c>
      <c r="Q36" s="137"/>
      <c r="R36" s="137"/>
      <c r="S36" s="128">
        <v>55248</v>
      </c>
      <c r="T36" s="129"/>
      <c r="U36" s="130"/>
      <c r="V36" s="64">
        <v>17743.29</v>
      </c>
      <c r="W36" s="64"/>
      <c r="X36" s="64"/>
      <c r="Y36" s="147">
        <f t="shared" si="1"/>
        <v>0</v>
      </c>
      <c r="Z36" s="147"/>
      <c r="AA36" s="148"/>
      <c r="AB36" s="50"/>
      <c r="AC36" s="22"/>
      <c r="AD36" s="22"/>
      <c r="AE36" s="22"/>
      <c r="AF36" s="51"/>
      <c r="AG36" s="48"/>
      <c r="AH36" s="48"/>
      <c r="AI36" s="48"/>
      <c r="AJ36" s="48"/>
      <c r="AK36" s="48"/>
      <c r="AL36" s="48"/>
      <c r="AM36" s="48"/>
      <c r="AN36" s="49"/>
      <c r="AO36" s="49"/>
      <c r="AP36" s="49"/>
      <c r="AQ36" s="49"/>
      <c r="AR36" s="49"/>
    </row>
    <row r="37" spans="1:44" s="13" customFormat="1" ht="18" customHeight="1">
      <c r="A37" s="143" t="s">
        <v>62</v>
      </c>
      <c r="B37" s="144"/>
      <c r="C37" s="64">
        <v>44</v>
      </c>
      <c r="D37" s="64"/>
      <c r="E37" s="134">
        <v>787</v>
      </c>
      <c r="F37" s="134"/>
      <c r="G37" s="125">
        <v>4</v>
      </c>
      <c r="H37" s="125"/>
      <c r="I37" s="125">
        <v>5</v>
      </c>
      <c r="J37" s="125"/>
      <c r="K37" s="126">
        <f t="shared" si="0"/>
        <v>840</v>
      </c>
      <c r="L37" s="126"/>
      <c r="M37" s="131">
        <v>14922.18</v>
      </c>
      <c r="N37" s="132"/>
      <c r="O37" s="133"/>
      <c r="P37" s="137">
        <v>123963.67000000001</v>
      </c>
      <c r="Q37" s="137"/>
      <c r="R37" s="137"/>
      <c r="S37" s="128">
        <v>45220</v>
      </c>
      <c r="T37" s="129"/>
      <c r="U37" s="130"/>
      <c r="V37" s="64">
        <v>11744.58</v>
      </c>
      <c r="W37" s="64"/>
      <c r="X37" s="64"/>
      <c r="Y37" s="147">
        <f t="shared" si="1"/>
        <v>0</v>
      </c>
      <c r="Z37" s="147"/>
      <c r="AA37" s="148"/>
      <c r="AB37" s="50"/>
      <c r="AC37" s="22"/>
      <c r="AD37" s="22"/>
      <c r="AE37" s="22"/>
      <c r="AF37" s="51"/>
      <c r="AG37" s="48"/>
      <c r="AH37" s="48"/>
      <c r="AI37" s="48"/>
      <c r="AJ37" s="48"/>
      <c r="AK37" s="48"/>
      <c r="AL37" s="48"/>
      <c r="AM37" s="49"/>
      <c r="AN37" s="49"/>
      <c r="AO37" s="49"/>
      <c r="AP37" s="49"/>
      <c r="AQ37" s="49"/>
      <c r="AR37" s="49"/>
    </row>
    <row r="38" spans="1:44" s="13" customFormat="1" ht="18" customHeight="1">
      <c r="A38" s="143" t="s">
        <v>63</v>
      </c>
      <c r="B38" s="144"/>
      <c r="C38" s="64">
        <v>53</v>
      </c>
      <c r="D38" s="64"/>
      <c r="E38" s="134">
        <v>4</v>
      </c>
      <c r="F38" s="134"/>
      <c r="G38" s="125">
        <v>4</v>
      </c>
      <c r="H38" s="125"/>
      <c r="I38" s="125">
        <v>99</v>
      </c>
      <c r="J38" s="125"/>
      <c r="K38" s="126">
        <f t="shared" si="0"/>
        <v>160</v>
      </c>
      <c r="L38" s="126"/>
      <c r="M38" s="131">
        <v>55347.42</v>
      </c>
      <c r="N38" s="132"/>
      <c r="O38" s="133"/>
      <c r="P38" s="137">
        <v>179311.09000000003</v>
      </c>
      <c r="Q38" s="137"/>
      <c r="R38" s="137"/>
      <c r="S38" s="128">
        <v>55125</v>
      </c>
      <c r="T38" s="129"/>
      <c r="U38" s="130"/>
      <c r="V38" s="64">
        <v>53089.38</v>
      </c>
      <c r="W38" s="64"/>
      <c r="X38" s="64"/>
      <c r="Y38" s="147">
        <f t="shared" si="1"/>
        <v>0</v>
      </c>
      <c r="Z38" s="147"/>
      <c r="AA38" s="148"/>
      <c r="AB38" s="50"/>
      <c r="AC38" s="22"/>
      <c r="AD38" s="22"/>
      <c r="AE38" s="22"/>
      <c r="AF38" s="51"/>
      <c r="AG38" s="48"/>
      <c r="AH38" s="48"/>
      <c r="AI38" s="48"/>
      <c r="AJ38" s="48"/>
      <c r="AK38" s="48"/>
      <c r="AL38" s="49"/>
      <c r="AM38" s="49"/>
      <c r="AN38" s="49"/>
      <c r="AO38" s="49"/>
      <c r="AP38" s="49"/>
      <c r="AQ38" s="49"/>
      <c r="AR38" s="49"/>
    </row>
    <row r="39" spans="1:44" s="13" customFormat="1" ht="18" customHeight="1">
      <c r="A39" s="143" t="s">
        <v>64</v>
      </c>
      <c r="B39" s="144"/>
      <c r="C39" s="64">
        <v>51</v>
      </c>
      <c r="D39" s="64"/>
      <c r="E39" s="134">
        <v>4</v>
      </c>
      <c r="F39" s="134"/>
      <c r="G39" s="125">
        <v>5</v>
      </c>
      <c r="H39" s="125"/>
      <c r="I39" s="125">
        <v>4</v>
      </c>
      <c r="J39" s="125"/>
      <c r="K39" s="126">
        <f t="shared" si="0"/>
        <v>64</v>
      </c>
      <c r="L39" s="126"/>
      <c r="M39" s="131">
        <v>13329.89</v>
      </c>
      <c r="N39" s="132"/>
      <c r="O39" s="133"/>
      <c r="P39" s="137">
        <v>192640.98000000004</v>
      </c>
      <c r="Q39" s="137"/>
      <c r="R39" s="137"/>
      <c r="S39" s="128">
        <v>44512</v>
      </c>
      <c r="T39" s="129"/>
      <c r="U39" s="130"/>
      <c r="V39" s="64">
        <v>12022.82</v>
      </c>
      <c r="W39" s="64"/>
      <c r="X39" s="64"/>
      <c r="Y39" s="147">
        <f t="shared" si="1"/>
        <v>0</v>
      </c>
      <c r="Z39" s="147"/>
      <c r="AA39" s="148"/>
      <c r="AB39" s="50"/>
      <c r="AC39" s="22"/>
      <c r="AD39" s="22"/>
      <c r="AE39" s="22"/>
      <c r="AF39" s="51"/>
      <c r="AG39" s="48"/>
      <c r="AH39" s="48"/>
      <c r="AI39" s="48"/>
      <c r="AJ39" s="48"/>
      <c r="AK39" s="49"/>
      <c r="AL39" s="49"/>
      <c r="AM39" s="49"/>
      <c r="AN39" s="49"/>
      <c r="AO39" s="49"/>
      <c r="AP39" s="49"/>
      <c r="AQ39" s="49"/>
      <c r="AR39" s="49"/>
    </row>
    <row r="40" spans="1:44" s="13" customFormat="1" ht="18" customHeight="1">
      <c r="A40" s="143" t="s">
        <v>65</v>
      </c>
      <c r="B40" s="144"/>
      <c r="C40" s="64">
        <v>48</v>
      </c>
      <c r="D40" s="64"/>
      <c r="E40" s="64">
        <v>4</v>
      </c>
      <c r="F40" s="64"/>
      <c r="G40" s="149">
        <v>5</v>
      </c>
      <c r="H40" s="149"/>
      <c r="I40" s="149">
        <v>4</v>
      </c>
      <c r="J40" s="149"/>
      <c r="K40" s="126">
        <f t="shared" si="0"/>
        <v>61</v>
      </c>
      <c r="L40" s="126"/>
      <c r="M40" s="177">
        <v>33962.81</v>
      </c>
      <c r="N40" s="178"/>
      <c r="O40" s="179"/>
      <c r="P40" s="137">
        <v>226603.79000000004</v>
      </c>
      <c r="Q40" s="137"/>
      <c r="R40" s="137"/>
      <c r="S40" s="174">
        <v>2555</v>
      </c>
      <c r="T40" s="175"/>
      <c r="U40" s="176"/>
      <c r="V40" s="64">
        <v>29274.09</v>
      </c>
      <c r="W40" s="64"/>
      <c r="X40" s="64"/>
      <c r="Y40" s="147">
        <f t="shared" si="1"/>
        <v>0</v>
      </c>
      <c r="Z40" s="147"/>
      <c r="AA40" s="148"/>
      <c r="AB40" s="50"/>
      <c r="AC40" s="22"/>
      <c r="AD40" s="22"/>
      <c r="AE40" s="22"/>
      <c r="AF40" s="51"/>
      <c r="AG40" s="48"/>
      <c r="AH40" s="48"/>
      <c r="AI40" s="48"/>
      <c r="AJ40" s="49"/>
      <c r="AK40" s="49"/>
      <c r="AL40" s="49"/>
      <c r="AM40" s="49"/>
      <c r="AN40" s="49"/>
      <c r="AO40" s="49"/>
      <c r="AP40" s="49"/>
      <c r="AQ40" s="49"/>
      <c r="AR40" s="49"/>
    </row>
    <row r="41" spans="1:44" s="13" customFormat="1" ht="18" customHeight="1" thickBot="1">
      <c r="A41" s="159" t="s">
        <v>66</v>
      </c>
      <c r="B41" s="160"/>
      <c r="C41" s="135">
        <f>IF($U$4&gt;0,SUM(C29:C40)/$U$4,0)</f>
        <v>79.75</v>
      </c>
      <c r="D41" s="135"/>
      <c r="E41" s="135">
        <f>IF($U$4&gt;0,SUM(E29:E40)/$U$4,0)</f>
        <v>68.583333333333329</v>
      </c>
      <c r="F41" s="135"/>
      <c r="G41" s="135">
        <f>IF($U$4&gt;0,SUM(G29:G40)/$U$4,0)</f>
        <v>4.916666666666667</v>
      </c>
      <c r="H41" s="135"/>
      <c r="I41" s="135">
        <f>IF($U$4&gt;0,SUM(I29:I40)/$U$4,0)</f>
        <v>21</v>
      </c>
      <c r="J41" s="135"/>
      <c r="K41" s="136">
        <f>IF($U$4&gt;0,SUM(K29:K40)/$U$4,0)</f>
        <v>174.25</v>
      </c>
      <c r="L41" s="136"/>
      <c r="M41" s="138">
        <f>SUM(M29:M40)</f>
        <v>226603.79000000004</v>
      </c>
      <c r="N41" s="138"/>
      <c r="O41" s="138"/>
      <c r="P41" s="138">
        <f>P40</f>
        <v>226603.79000000004</v>
      </c>
      <c r="Q41" s="138"/>
      <c r="R41" s="138"/>
      <c r="S41" s="138"/>
      <c r="T41" s="138"/>
      <c r="U41" s="138"/>
      <c r="V41" s="60"/>
      <c r="W41" s="139"/>
      <c r="X41" s="139"/>
      <c r="Y41" s="157">
        <f t="shared" si="1"/>
        <v>0</v>
      </c>
      <c r="Z41" s="157"/>
      <c r="AA41" s="158"/>
      <c r="AB41" s="50"/>
      <c r="AC41" s="22"/>
      <c r="AD41" s="22"/>
      <c r="AE41" s="22"/>
      <c r="AF41" s="22"/>
      <c r="AG41" s="49"/>
      <c r="AH41" s="22"/>
      <c r="AI41" s="22"/>
      <c r="AJ41" s="22"/>
    </row>
    <row r="42" spans="1:44" s="13" customFormat="1" ht="11.25" customHeight="1">
      <c r="A42" s="14"/>
      <c r="B42" s="14"/>
      <c r="C42" s="14"/>
      <c r="D42" s="15"/>
      <c r="E42" s="15"/>
      <c r="F42" s="15"/>
      <c r="G42" s="16"/>
      <c r="H42" s="17"/>
      <c r="I42" s="14"/>
      <c r="J42" s="14"/>
      <c r="K42" s="14"/>
      <c r="L42" s="14"/>
      <c r="M42" s="18"/>
      <c r="N42" s="19"/>
      <c r="O42" s="19"/>
      <c r="P42" s="19"/>
      <c r="Q42" s="14"/>
      <c r="R42" s="20"/>
      <c r="S42" s="20"/>
      <c r="T42" s="20"/>
      <c r="U42" s="21"/>
      <c r="V42" s="21"/>
      <c r="W42" s="14"/>
      <c r="X42" s="14"/>
      <c r="Y42" s="14"/>
      <c r="Z42" s="14"/>
      <c r="AA42" s="14"/>
      <c r="AB42" s="22"/>
      <c r="AC42" s="22"/>
      <c r="AD42" s="22"/>
      <c r="AE42" s="22"/>
      <c r="AF42" s="22"/>
      <c r="AG42" s="22"/>
      <c r="AH42" s="22"/>
      <c r="AI42" s="22"/>
      <c r="AJ42" s="22"/>
    </row>
    <row r="43" spans="1:44" s="22" customFormat="1" ht="18" customHeight="1"/>
    <row r="44" spans="1:44" s="13" customFormat="1" ht="18" customHeight="1">
      <c r="AB44" s="22"/>
      <c r="AC44" s="22"/>
      <c r="AD44" s="22"/>
      <c r="AE44" s="22"/>
      <c r="AF44" s="22"/>
      <c r="AG44" s="22"/>
      <c r="AH44" s="22"/>
      <c r="AI44" s="22"/>
      <c r="AJ44" s="22"/>
    </row>
    <row r="45" spans="1:44" s="52" customFormat="1" ht="18" customHeight="1">
      <c r="AB45" s="53"/>
      <c r="AC45" s="53"/>
      <c r="AD45" s="53"/>
      <c r="AE45" s="53"/>
      <c r="AF45" s="53"/>
      <c r="AG45" s="53"/>
      <c r="AH45" s="53"/>
      <c r="AI45" s="53"/>
      <c r="AJ45" s="53"/>
    </row>
    <row r="46" spans="1:44" s="52" customFormat="1" ht="18" customHeight="1"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3"/>
      <c r="AC46" s="53"/>
      <c r="AD46" s="53"/>
      <c r="AE46" s="53"/>
      <c r="AF46" s="53"/>
      <c r="AG46" s="53"/>
      <c r="AH46" s="53"/>
      <c r="AI46" s="53"/>
      <c r="AJ46" s="53"/>
    </row>
    <row r="47" spans="1:44" s="52" customFormat="1" ht="18" customHeight="1">
      <c r="AB47" s="53"/>
      <c r="AC47" s="53"/>
      <c r="AD47" s="53"/>
      <c r="AE47" s="53"/>
      <c r="AF47" s="53"/>
      <c r="AG47" s="53"/>
      <c r="AH47" s="53"/>
      <c r="AI47" s="53"/>
      <c r="AJ47" s="53"/>
    </row>
    <row r="48" spans="1:44" s="52" customFormat="1" ht="18" customHeight="1">
      <c r="AB48" s="53"/>
      <c r="AC48" s="53"/>
      <c r="AD48" s="53"/>
      <c r="AE48" s="53"/>
      <c r="AF48" s="53"/>
      <c r="AG48" s="53"/>
      <c r="AH48" s="53"/>
      <c r="AI48" s="53"/>
      <c r="AJ48" s="53"/>
    </row>
    <row r="49" ht="18" customHeight="1"/>
  </sheetData>
  <mergeCells count="223">
    <mergeCell ref="Y41:AA41"/>
    <mergeCell ref="A41:B41"/>
    <mergeCell ref="A1:AA1"/>
    <mergeCell ref="A27:B28"/>
    <mergeCell ref="C27:L27"/>
    <mergeCell ref="M27:O28"/>
    <mergeCell ref="P27:R28"/>
    <mergeCell ref="S27:U28"/>
    <mergeCell ref="Y27:AA28"/>
    <mergeCell ref="Y39:AA39"/>
    <mergeCell ref="P40:R40"/>
    <mergeCell ref="S40:U40"/>
    <mergeCell ref="Y40:AA40"/>
    <mergeCell ref="P39:R39"/>
    <mergeCell ref="M39:O39"/>
    <mergeCell ref="M40:O40"/>
    <mergeCell ref="I40:J40"/>
    <mergeCell ref="C40:D40"/>
    <mergeCell ref="M41:O41"/>
    <mergeCell ref="K34:L34"/>
    <mergeCell ref="M34:O34"/>
    <mergeCell ref="P34:R34"/>
    <mergeCell ref="S34:U34"/>
    <mergeCell ref="Y34:AA34"/>
    <mergeCell ref="K33:L33"/>
    <mergeCell ref="M33:O33"/>
    <mergeCell ref="P32:R32"/>
    <mergeCell ref="S32:U32"/>
    <mergeCell ref="S35:U35"/>
    <mergeCell ref="Y38:AA38"/>
    <mergeCell ref="S38:U38"/>
    <mergeCell ref="M35:O35"/>
    <mergeCell ref="S37:U37"/>
    <mergeCell ref="Y37:AA37"/>
    <mergeCell ref="K35:L35"/>
    <mergeCell ref="P37:R37"/>
    <mergeCell ref="M29:O29"/>
    <mergeCell ref="P29:R29"/>
    <mergeCell ref="S29:U29"/>
    <mergeCell ref="M30:O30"/>
    <mergeCell ref="P30:R30"/>
    <mergeCell ref="S30:U30"/>
    <mergeCell ref="Y35:AA35"/>
    <mergeCell ref="M36:O36"/>
    <mergeCell ref="P36:R36"/>
    <mergeCell ref="S36:U36"/>
    <mergeCell ref="Y36:AA36"/>
    <mergeCell ref="P35:R35"/>
    <mergeCell ref="Y32:AA32"/>
    <mergeCell ref="Y33:AA33"/>
    <mergeCell ref="P33:R33"/>
    <mergeCell ref="S33:U33"/>
    <mergeCell ref="G41:H41"/>
    <mergeCell ref="A34:B34"/>
    <mergeCell ref="A33:B33"/>
    <mergeCell ref="A32:B32"/>
    <mergeCell ref="A31:B31"/>
    <mergeCell ref="A40:B40"/>
    <mergeCell ref="A39:B39"/>
    <mergeCell ref="E40:F40"/>
    <mergeCell ref="E39:F39"/>
    <mergeCell ref="C33:D33"/>
    <mergeCell ref="C32:D32"/>
    <mergeCell ref="C41:D41"/>
    <mergeCell ref="C34:D34"/>
    <mergeCell ref="C39:D39"/>
    <mergeCell ref="G40:H40"/>
    <mergeCell ref="G39:H39"/>
    <mergeCell ref="G38:H38"/>
    <mergeCell ref="G37:H37"/>
    <mergeCell ref="E35:F35"/>
    <mergeCell ref="G34:H34"/>
    <mergeCell ref="E41:F41"/>
    <mergeCell ref="E34:F34"/>
    <mergeCell ref="A38:B38"/>
    <mergeCell ref="A37:B37"/>
    <mergeCell ref="I32:J32"/>
    <mergeCell ref="C37:D37"/>
    <mergeCell ref="C36:D36"/>
    <mergeCell ref="C35:D35"/>
    <mergeCell ref="E36:F36"/>
    <mergeCell ref="E38:F38"/>
    <mergeCell ref="E37:F37"/>
    <mergeCell ref="I33:J33"/>
    <mergeCell ref="G36:H36"/>
    <mergeCell ref="C38:D38"/>
    <mergeCell ref="P31:R31"/>
    <mergeCell ref="I37:J37"/>
    <mergeCell ref="I36:J36"/>
    <mergeCell ref="A2:AA2"/>
    <mergeCell ref="G4:H4"/>
    <mergeCell ref="D4:F4"/>
    <mergeCell ref="R4:T4"/>
    <mergeCell ref="A30:B30"/>
    <mergeCell ref="C31:D31"/>
    <mergeCell ref="C30:D30"/>
    <mergeCell ref="C29:D29"/>
    <mergeCell ref="C28:D28"/>
    <mergeCell ref="G29:H29"/>
    <mergeCell ref="A29:B29"/>
    <mergeCell ref="E29:F29"/>
    <mergeCell ref="Y29:AA29"/>
    <mergeCell ref="Y30:AA30"/>
    <mergeCell ref="Y31:AA31"/>
    <mergeCell ref="M32:O32"/>
    <mergeCell ref="E31:F31"/>
    <mergeCell ref="I29:J29"/>
    <mergeCell ref="A36:B36"/>
    <mergeCell ref="A35:B35"/>
    <mergeCell ref="G35:H35"/>
    <mergeCell ref="I39:J39"/>
    <mergeCell ref="I38:J38"/>
    <mergeCell ref="K39:L39"/>
    <mergeCell ref="V37:X37"/>
    <mergeCell ref="V38:X38"/>
    <mergeCell ref="V39:X39"/>
    <mergeCell ref="V40:X40"/>
    <mergeCell ref="I41:J41"/>
    <mergeCell ref="K41:L41"/>
    <mergeCell ref="K38:L38"/>
    <mergeCell ref="P38:R38"/>
    <mergeCell ref="M38:O38"/>
    <mergeCell ref="S39:U39"/>
    <mergeCell ref="K40:L40"/>
    <mergeCell ref="S41:U41"/>
    <mergeCell ref="P41:R41"/>
    <mergeCell ref="W41:X41"/>
    <mergeCell ref="I30:J30"/>
    <mergeCell ref="K29:L29"/>
    <mergeCell ref="I28:J28"/>
    <mergeCell ref="K28:L28"/>
    <mergeCell ref="S31:U31"/>
    <mergeCell ref="K30:L30"/>
    <mergeCell ref="E28:F28"/>
    <mergeCell ref="G28:H28"/>
    <mergeCell ref="K37:L37"/>
    <mergeCell ref="M37:O37"/>
    <mergeCell ref="E30:F30"/>
    <mergeCell ref="E33:F33"/>
    <mergeCell ref="E32:F32"/>
    <mergeCell ref="G33:H33"/>
    <mergeCell ref="G32:H32"/>
    <mergeCell ref="G31:H31"/>
    <mergeCell ref="G30:H30"/>
    <mergeCell ref="I35:J35"/>
    <mergeCell ref="I34:J34"/>
    <mergeCell ref="K36:L36"/>
    <mergeCell ref="K32:L32"/>
    <mergeCell ref="I31:J31"/>
    <mergeCell ref="K31:L31"/>
    <mergeCell ref="M31:O31"/>
    <mergeCell ref="E10:I10"/>
    <mergeCell ref="T17:X17"/>
    <mergeCell ref="T16:X16"/>
    <mergeCell ref="A20:AA20"/>
    <mergeCell ref="B25:M25"/>
    <mergeCell ref="B24:M24"/>
    <mergeCell ref="A14:D14"/>
    <mergeCell ref="A12:D12"/>
    <mergeCell ref="A10:D10"/>
    <mergeCell ref="N14:R14"/>
    <mergeCell ref="O23:AA23"/>
    <mergeCell ref="O22:AA22"/>
    <mergeCell ref="N18:R18"/>
    <mergeCell ref="N16:R16"/>
    <mergeCell ref="J12:L12"/>
    <mergeCell ref="B23:M23"/>
    <mergeCell ref="B22:M22"/>
    <mergeCell ref="B21:M21"/>
    <mergeCell ref="O25:AA25"/>
    <mergeCell ref="O24:AA24"/>
    <mergeCell ref="E18:I18"/>
    <mergeCell ref="E16:I16"/>
    <mergeCell ref="E14:I14"/>
    <mergeCell ref="E12:I12"/>
    <mergeCell ref="A8:D8"/>
    <mergeCell ref="J18:M18"/>
    <mergeCell ref="J16:M16"/>
    <mergeCell ref="J14:M14"/>
    <mergeCell ref="J10:M10"/>
    <mergeCell ref="A18:D18"/>
    <mergeCell ref="A16:D16"/>
    <mergeCell ref="E8:I8"/>
    <mergeCell ref="X9:Z9"/>
    <mergeCell ref="S13:AA13"/>
    <mergeCell ref="N8:R8"/>
    <mergeCell ref="M12:N12"/>
    <mergeCell ref="Q12:R12"/>
    <mergeCell ref="O12:P12"/>
    <mergeCell ref="X11:AA11"/>
    <mergeCell ref="S11:W11"/>
    <mergeCell ref="S10:W10"/>
    <mergeCell ref="S8:W8"/>
    <mergeCell ref="S9:W9"/>
    <mergeCell ref="J11:L11"/>
    <mergeCell ref="M11:N11"/>
    <mergeCell ref="Q11:R11"/>
    <mergeCell ref="O11:P11"/>
    <mergeCell ref="J8:M8"/>
    <mergeCell ref="A3:AA3"/>
    <mergeCell ref="V29:X29"/>
    <mergeCell ref="V30:X30"/>
    <mergeCell ref="V31:X31"/>
    <mergeCell ref="V32:X32"/>
    <mergeCell ref="V33:X33"/>
    <mergeCell ref="V34:X34"/>
    <mergeCell ref="V35:X35"/>
    <mergeCell ref="V36:X36"/>
    <mergeCell ref="V27:X28"/>
    <mergeCell ref="S6:AA6"/>
    <mergeCell ref="A6:I6"/>
    <mergeCell ref="J6:R6"/>
    <mergeCell ref="X10:AA10"/>
    <mergeCell ref="X8:AA8"/>
    <mergeCell ref="O21:AA21"/>
    <mergeCell ref="T15:X15"/>
    <mergeCell ref="T14:X14"/>
    <mergeCell ref="Y18:AA18"/>
    <mergeCell ref="Y17:AA17"/>
    <mergeCell ref="Y16:AA16"/>
    <mergeCell ref="Y15:AA15"/>
    <mergeCell ref="Y14:AA14"/>
    <mergeCell ref="T18:X18"/>
  </mergeCells>
  <printOptions horizontalCentered="1"/>
  <pageMargins left="0.24" right="0.2" top="0.15" bottom="0.5" header="0" footer="0"/>
  <pageSetup scale="54" orientation="portrait" r:id="rId1"/>
  <headerFooter alignWithMargins="0">
    <oddHeader>&amp;L</oddHeader>
    <oddFooter>&amp;R&amp;G</oddFooter>
  </headerFooter>
  <rowBreaks count="1" manualBreakCount="1">
    <brk id="47" min="15" max="24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6DDA-B080-447A-A31C-7D6879E91689}">
  <dimension ref="A1:P17"/>
  <sheetViews>
    <sheetView tabSelected="1" zoomScale="70" zoomScaleNormal="70" workbookViewId="0">
      <selection activeCell="H46" sqref="H46"/>
    </sheetView>
  </sheetViews>
  <sheetFormatPr defaultRowHeight="13.2"/>
  <cols>
    <col min="1" max="1" width="36.5546875" bestFit="1" customWidth="1"/>
    <col min="2" max="2" width="13.33203125" bestFit="1" customWidth="1"/>
    <col min="3" max="3" width="11" bestFit="1" customWidth="1"/>
    <col min="4" max="4" width="17.6640625" bestFit="1" customWidth="1"/>
    <col min="5" max="5" width="15.6640625" customWidth="1"/>
    <col min="6" max="6" width="10.44140625" customWidth="1"/>
    <col min="7" max="7" width="14.21875" customWidth="1"/>
    <col min="8" max="8" width="13.6640625" customWidth="1"/>
    <col min="9" max="9" width="29.88671875" customWidth="1"/>
    <col min="10" max="10" width="12" customWidth="1"/>
    <col min="11" max="11" width="11.44140625" customWidth="1"/>
    <col min="12" max="12" width="17.77734375" customWidth="1"/>
    <col min="13" max="13" width="10.6640625" customWidth="1"/>
    <col min="14" max="14" width="16.5546875" bestFit="1" customWidth="1"/>
    <col min="15" max="15" width="30.33203125" bestFit="1" customWidth="1"/>
    <col min="16" max="16" width="21.88671875" bestFit="1" customWidth="1"/>
  </cols>
  <sheetData>
    <row r="1" spans="1:16">
      <c r="A1" s="185" t="s">
        <v>75</v>
      </c>
      <c r="B1" s="185"/>
      <c r="C1" s="185"/>
    </row>
    <row r="2" spans="1:16">
      <c r="A2" s="55" t="s">
        <v>76</v>
      </c>
      <c r="B2" s="55">
        <v>2</v>
      </c>
    </row>
    <row r="3" spans="1:16" ht="26.4">
      <c r="A3" s="55" t="s">
        <v>77</v>
      </c>
      <c r="B3" s="56">
        <v>293941.65000000002</v>
      </c>
    </row>
    <row r="4" spans="1:16">
      <c r="A4" s="55" t="s">
        <v>3</v>
      </c>
      <c r="B4" t="s">
        <v>116</v>
      </c>
    </row>
    <row r="5" spans="1:16" ht="26.4">
      <c r="A5" s="55" t="s">
        <v>78</v>
      </c>
      <c r="B5" s="56">
        <v>543941.65</v>
      </c>
    </row>
    <row r="6" spans="1:16">
      <c r="A6" s="55" t="s">
        <v>79</v>
      </c>
      <c r="B6" s="56">
        <v>5288828.18</v>
      </c>
    </row>
    <row r="7" spans="1:16">
      <c r="A7" s="180" t="s">
        <v>115</v>
      </c>
      <c r="B7" s="181"/>
      <c r="C7" s="181"/>
      <c r="D7" s="181"/>
      <c r="E7" s="182" t="s">
        <v>11</v>
      </c>
      <c r="F7" s="182"/>
      <c r="G7" s="182"/>
      <c r="H7" s="182"/>
      <c r="I7" s="183"/>
    </row>
    <row r="8" spans="1:16">
      <c r="A8" s="185" t="s">
        <v>80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spans="1:16" ht="28.8">
      <c r="A9" s="184"/>
      <c r="B9" s="57" t="s">
        <v>81</v>
      </c>
      <c r="C9" s="184" t="s">
        <v>82</v>
      </c>
      <c r="D9" s="184" t="s">
        <v>83</v>
      </c>
      <c r="E9" s="184"/>
      <c r="F9" s="184" t="s">
        <v>84</v>
      </c>
      <c r="G9" s="184" t="s">
        <v>85</v>
      </c>
      <c r="H9" s="184" t="s">
        <v>86</v>
      </c>
      <c r="I9" s="184" t="s">
        <v>87</v>
      </c>
      <c r="J9" s="184" t="s">
        <v>88</v>
      </c>
      <c r="K9" s="184" t="s">
        <v>89</v>
      </c>
      <c r="L9" s="184" t="s">
        <v>90</v>
      </c>
      <c r="M9" s="57" t="s">
        <v>91</v>
      </c>
      <c r="N9" s="184" t="s">
        <v>92</v>
      </c>
      <c r="O9" s="184" t="s">
        <v>93</v>
      </c>
      <c r="P9" s="184" t="s">
        <v>94</v>
      </c>
    </row>
    <row r="10" spans="1:16" ht="14.4">
      <c r="A10" s="184"/>
      <c r="B10" s="57" t="s">
        <v>95</v>
      </c>
      <c r="C10" s="184"/>
      <c r="D10" s="184"/>
      <c r="E10" s="184"/>
      <c r="F10" s="184"/>
      <c r="G10" s="184"/>
      <c r="H10" s="184"/>
      <c r="I10" s="184"/>
      <c r="J10" s="184"/>
      <c r="K10" s="184"/>
      <c r="L10" s="184"/>
      <c r="M10" s="57" t="s">
        <v>96</v>
      </c>
      <c r="N10" s="184"/>
      <c r="O10" s="184"/>
      <c r="P10" s="184"/>
    </row>
    <row r="11" spans="1:16" ht="14.4">
      <c r="A11" s="184"/>
      <c r="B11" s="57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57" t="s">
        <v>97</v>
      </c>
      <c r="N11" s="184"/>
      <c r="O11" s="184"/>
      <c r="P11" s="184"/>
    </row>
    <row r="12" spans="1:16" ht="26.4">
      <c r="A12" s="58" t="s">
        <v>67</v>
      </c>
      <c r="B12" s="55" t="s">
        <v>98</v>
      </c>
      <c r="C12" s="55" t="s">
        <v>99</v>
      </c>
      <c r="D12" s="55" t="s">
        <v>100</v>
      </c>
      <c r="E12" s="55"/>
      <c r="F12" s="56" t="s">
        <v>101</v>
      </c>
      <c r="G12" s="56">
        <v>357206.33</v>
      </c>
      <c r="H12" s="56">
        <v>2731.56</v>
      </c>
      <c r="I12" s="55" t="s">
        <v>102</v>
      </c>
      <c r="J12" s="56">
        <v>277034.36</v>
      </c>
      <c r="K12" s="56">
        <v>167044.29</v>
      </c>
      <c r="L12" s="55" t="s">
        <v>103</v>
      </c>
      <c r="M12" s="59">
        <v>44336</v>
      </c>
      <c r="N12" s="55"/>
      <c r="O12" s="55">
        <v>21.3</v>
      </c>
      <c r="P12" s="56">
        <v>82855.77</v>
      </c>
    </row>
    <row r="13" spans="1:16" ht="26.4">
      <c r="A13" s="58"/>
      <c r="B13" s="55"/>
      <c r="C13" s="185"/>
      <c r="D13" s="185"/>
      <c r="E13" s="185"/>
      <c r="F13" s="185"/>
      <c r="G13" s="185"/>
      <c r="H13" s="185"/>
      <c r="I13" s="55" t="s">
        <v>104</v>
      </c>
      <c r="J13" s="56">
        <v>56492.15</v>
      </c>
      <c r="K13" s="56">
        <v>47142.93</v>
      </c>
      <c r="L13" s="55" t="s">
        <v>103</v>
      </c>
      <c r="M13" s="59">
        <v>44420</v>
      </c>
      <c r="N13" s="55"/>
      <c r="O13" s="185"/>
      <c r="P13" s="185"/>
    </row>
    <row r="14" spans="1:16" ht="26.4">
      <c r="A14" s="58"/>
      <c r="B14" s="55"/>
      <c r="C14" s="185"/>
      <c r="D14" s="185"/>
      <c r="E14" s="185"/>
      <c r="F14" s="185"/>
      <c r="G14" s="185"/>
      <c r="H14" s="185"/>
      <c r="I14" s="55" t="s">
        <v>102</v>
      </c>
      <c r="J14" s="56">
        <v>30249</v>
      </c>
      <c r="K14" s="56">
        <v>25780.06</v>
      </c>
      <c r="L14" s="55" t="s">
        <v>105</v>
      </c>
      <c r="M14" s="59">
        <v>44280</v>
      </c>
      <c r="N14" s="55"/>
      <c r="O14" s="185"/>
      <c r="P14" s="185"/>
    </row>
    <row r="15" spans="1:16" ht="39.6">
      <c r="A15" s="58" t="s">
        <v>68</v>
      </c>
      <c r="B15" s="55" t="s">
        <v>98</v>
      </c>
      <c r="C15" s="55" t="s">
        <v>106</v>
      </c>
      <c r="D15" s="55" t="s">
        <v>100</v>
      </c>
      <c r="E15" s="55"/>
      <c r="F15" s="56" t="s">
        <v>107</v>
      </c>
      <c r="G15" s="56">
        <v>184002.68</v>
      </c>
      <c r="H15" s="56">
        <v>1.08</v>
      </c>
      <c r="I15" s="55" t="s">
        <v>108</v>
      </c>
      <c r="J15" s="56">
        <v>441136.98</v>
      </c>
      <c r="K15" s="56">
        <v>91475.69</v>
      </c>
      <c r="L15" s="55" t="s">
        <v>109</v>
      </c>
      <c r="M15" s="59">
        <v>44291</v>
      </c>
      <c r="N15" s="59">
        <v>44408</v>
      </c>
      <c r="O15" s="55">
        <v>6.87</v>
      </c>
      <c r="P15" s="56">
        <v>26708.69</v>
      </c>
    </row>
    <row r="16" spans="1:16" ht="26.4">
      <c r="A16" s="55"/>
      <c r="B16" s="55"/>
      <c r="C16" s="185"/>
      <c r="D16" s="185"/>
      <c r="E16" s="185"/>
      <c r="F16" s="185"/>
      <c r="G16" s="185"/>
      <c r="H16" s="185"/>
      <c r="I16" s="55" t="s">
        <v>110</v>
      </c>
      <c r="J16" s="56">
        <v>54600</v>
      </c>
      <c r="K16" s="56">
        <v>54600</v>
      </c>
      <c r="L16" s="55" t="s">
        <v>111</v>
      </c>
      <c r="M16" s="59">
        <v>44396</v>
      </c>
      <c r="N16" s="55"/>
      <c r="O16" s="185"/>
      <c r="P16" s="185"/>
    </row>
    <row r="17" spans="1:16" ht="26.4">
      <c r="A17" s="55"/>
      <c r="B17" s="55"/>
      <c r="C17" s="185"/>
      <c r="D17" s="185"/>
      <c r="E17" s="185"/>
      <c r="F17" s="185"/>
      <c r="G17" s="185"/>
      <c r="H17" s="185"/>
      <c r="I17" s="55" t="s">
        <v>112</v>
      </c>
      <c r="J17" s="56">
        <v>18683</v>
      </c>
      <c r="K17" s="56">
        <v>14012.25</v>
      </c>
      <c r="L17" s="55" t="s">
        <v>113</v>
      </c>
      <c r="M17" s="59">
        <v>44291</v>
      </c>
      <c r="N17" s="55"/>
      <c r="O17" s="185"/>
      <c r="P17" s="185"/>
    </row>
  </sheetData>
  <mergeCells count="26">
    <mergeCell ref="N9:N11"/>
    <mergeCell ref="O9:O11"/>
    <mergeCell ref="C17:H17"/>
    <mergeCell ref="O17:P17"/>
    <mergeCell ref="C13:H13"/>
    <mergeCell ref="O13:P13"/>
    <mergeCell ref="C14:H14"/>
    <mergeCell ref="O14:P14"/>
    <mergeCell ref="C16:H16"/>
    <mergeCell ref="O16:P16"/>
    <mergeCell ref="A7:D7"/>
    <mergeCell ref="E7:I7"/>
    <mergeCell ref="P9:P11"/>
    <mergeCell ref="A1:C1"/>
    <mergeCell ref="A8:P8"/>
    <mergeCell ref="A9:A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</mergeCells>
  <phoneticPr fontId="2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CFC2-D41F-4367-BA3B-01D37915FFED}">
  <dimension ref="A1"/>
  <sheetViews>
    <sheetView workbookViewId="0"/>
  </sheetViews>
  <sheetFormatPr defaultRowHeight="13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502596CAAE6849AE7B86390F36DA8D" ma:contentTypeVersion="3" ma:contentTypeDescription="Create a new document." ma:contentTypeScope="" ma:versionID="0c9fe0335eb8cf71e2c994b50b29965c">
  <xsd:schema xmlns:xsd="http://www.w3.org/2001/XMLSchema" xmlns:xs="http://www.w3.org/2001/XMLSchema" xmlns:p="http://schemas.microsoft.com/office/2006/metadata/properties" xmlns:ns1="http://schemas.microsoft.com/sharepoint/v3" xmlns:ns2="680500b6-ce44-457c-a002-bf0fe6b387cd" targetNamespace="http://schemas.microsoft.com/office/2006/metadata/properties" ma:root="true" ma:fieldsID="d82e5dfc9e852ec5780aec484dfa1e28" ns1:_="" ns2:_="">
    <xsd:import namespace="http://schemas.microsoft.com/sharepoint/v3"/>
    <xsd:import namespace="680500b6-ce44-457c-a002-bf0fe6b387cd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0500b6-ce44-457c-a002-bf0fe6b387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E99EA9-47B2-4C87-9F1F-D8D576CEBBF7}">
  <ds:schemaRefs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680500b6-ce44-457c-a002-bf0fe6b387c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A332738-9BC8-46DD-98AB-AD3582DE8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80500b6-ce44-457c-a002-bf0fe6b387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21D171-94E3-474A-9231-4D7F21A900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Report</vt:lpstr>
      <vt:lpstr>Claimants</vt:lpstr>
      <vt:lpstr>Sheet1</vt:lpstr>
      <vt:lpstr>Report!Print_Area</vt:lpstr>
    </vt:vector>
  </TitlesOfParts>
  <Company>Allied Benefit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MLaskowski</dc:creator>
  <cp:lastModifiedBy>Illia Makarov</cp:lastModifiedBy>
  <cp:lastPrinted>2018-05-29T18:12:50Z</cp:lastPrinted>
  <dcterms:created xsi:type="dcterms:W3CDTF">2003-04-04T17:03:22Z</dcterms:created>
  <dcterms:modified xsi:type="dcterms:W3CDTF">2025-02-06T11:34:42Z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0x01010030502596CAAE6849AE7B86390F36DA8D</vt:lpwstr>
  </property>
  <property fmtid="{D5CDD505-2E9C-101B-9397-08002B2CF9AE}" pid="3" name="MSIP_Label_90c2fedb-0da6-4717-8531-d16a1b9930f4_Enabled">
    <vt:lpwstr>true</vt:lpwstr>
  </property>
  <property fmtid="{D5CDD505-2E9C-101B-9397-08002B2CF9AE}" pid="4" name="MSIP_Label_90c2fedb-0da6-4717-8531-d16a1b9930f4_SetDate">
    <vt:lpwstr>2023-03-07T07:21:26Z</vt:lpwstr>
  </property>
  <property fmtid="{D5CDD505-2E9C-101B-9397-08002B2CF9AE}" pid="5" name="MSIP_Label_90c2fedb-0da6-4717-8531-d16a1b9930f4_Method">
    <vt:lpwstr>Standard</vt:lpwstr>
  </property>
  <property fmtid="{D5CDD505-2E9C-101B-9397-08002B2CF9AE}" pid="6" name="MSIP_Label_90c2fedb-0da6-4717-8531-d16a1b9930f4_Name">
    <vt:lpwstr>90c2fedb-0da6-4717-8531-d16a1b9930f4</vt:lpwstr>
  </property>
  <property fmtid="{D5CDD505-2E9C-101B-9397-08002B2CF9AE}" pid="7" name="MSIP_Label_90c2fedb-0da6-4717-8531-d16a1b9930f4_SiteId">
    <vt:lpwstr>45597f60-6e37-4be7-acfb-4c9e23b261ea</vt:lpwstr>
  </property>
  <property fmtid="{D5CDD505-2E9C-101B-9397-08002B2CF9AE}" pid="8" name="MSIP_Label_90c2fedb-0da6-4717-8531-d16a1b9930f4_ActionId">
    <vt:lpwstr>4985c8d4-99e6-49cc-abb5-d4859b07e08d</vt:lpwstr>
  </property>
  <property fmtid="{D5CDD505-2E9C-101B-9397-08002B2CF9AE}" pid="9" name="MSIP_Label_90c2fedb-0da6-4717-8531-d16a1b9930f4_ContentBits">
    <vt:lpwstr>0</vt:lpwstr>
  </property>
  <property fmtid="{D5CDD505-2E9C-101B-9397-08002B2CF9AE}" pid="10" name="Sensitivity">
    <vt:lpwstr>Internal</vt:lpwstr>
  </property>
</Properties>
</file>