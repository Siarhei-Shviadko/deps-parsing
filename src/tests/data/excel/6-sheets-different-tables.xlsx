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lia_Makarov\WORK\DEPS\deps-root\deps-parsing\src\tests\data\excel\"/>
    </mc:Choice>
  </mc:AlternateContent>
  <xr:revisionPtr revIDLastSave="0" documentId="13_ncr:1_{0659FC1C-2B49-4126-8648-EBCD071505E5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I" sheetId="2" r:id="rId1"/>
    <sheet name="want" sheetId="3" r:id="rId2"/>
    <sheet name="to" sheetId="4" r:id="rId3"/>
    <sheet name="die" sheetId="5" r:id="rId4"/>
    <sheet name="fucking" sheetId="6" r:id="rId5"/>
    <sheet name="algorith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7" l="1"/>
  <c r="G20" i="7"/>
  <c r="F20" i="7"/>
  <c r="E13" i="7" s="1"/>
  <c r="H15" i="7"/>
  <c r="G15" i="7"/>
  <c r="F15" i="7"/>
  <c r="E12" i="7" s="1"/>
</calcChain>
</file>

<file path=xl/sharedStrings.xml><?xml version="1.0" encoding="utf-8"?>
<sst xmlns="http://schemas.openxmlformats.org/spreadsheetml/2006/main" count="548" uniqueCount="218">
  <si>
    <t>Field ID</t>
  </si>
  <si>
    <t>Example</t>
  </si>
  <si>
    <t>Submission</t>
  </si>
  <si>
    <t>Account</t>
  </si>
  <si>
    <t>2 Peaches Group, LLC</t>
  </si>
  <si>
    <t>Effective Date</t>
  </si>
  <si>
    <t>Due Date</t>
  </si>
  <si>
    <t>Producer</t>
  </si>
  <si>
    <t>Underwriting Contact</t>
  </si>
  <si>
    <t>Marketing Contact</t>
  </si>
  <si>
    <t>Product Type</t>
  </si>
  <si>
    <t>SIC Code</t>
  </si>
  <si>
    <t>Federal ID</t>
  </si>
  <si>
    <t>Benefit Plan</t>
  </si>
  <si>
    <t>Plan 1 Description / Name</t>
  </si>
  <si>
    <t>Benefits Included: Medical</t>
  </si>
  <si>
    <t>Yes</t>
  </si>
  <si>
    <t>Benefits Included: Prescription drug</t>
  </si>
  <si>
    <t>Deductible - In Network</t>
  </si>
  <si>
    <t>Deductible - Out Network</t>
  </si>
  <si>
    <t>Co-insurance Percentage  - In Network</t>
  </si>
  <si>
    <t>Co-insurance Percentage  - Out Network</t>
  </si>
  <si>
    <t>Maximum Out-of-Pocket  - In Network</t>
  </si>
  <si>
    <t>Maximum Out-of-Pocket  - Out Network</t>
  </si>
  <si>
    <t>8.3A-1</t>
  </si>
  <si>
    <t>In Network &amp; Out Network, Prescrpt Drug Card - Generic</t>
  </si>
  <si>
    <t>8.3A-2</t>
  </si>
  <si>
    <t>In Network &amp; Out Network, Prescrpt Drug Card - Brand</t>
  </si>
  <si>
    <t>8.3A-3</t>
  </si>
  <si>
    <t>Prescription Drug Card - Non-Formulary</t>
  </si>
  <si>
    <t>HDHP</t>
  </si>
  <si>
    <t>No</t>
  </si>
  <si>
    <t>8.13A-1</t>
  </si>
  <si>
    <t>8.13A-2</t>
  </si>
  <si>
    <t>8.13A-3</t>
  </si>
  <si>
    <t>Current Network</t>
  </si>
  <si>
    <t xml:space="preserve">Specific Coverage: Medical </t>
  </si>
  <si>
    <t>Specific Coverage: Precription Drug Card</t>
  </si>
  <si>
    <t>Specific Coverage: Precription SAAO</t>
  </si>
  <si>
    <t>Specific Coverage: Family Specific Deductible</t>
  </si>
  <si>
    <t xml:space="preserve">Specific Coverage: Terminal Liability Provision </t>
  </si>
  <si>
    <t>Specific Coverage: No New Laser &amp; Renewal Rate Cap</t>
  </si>
  <si>
    <t>Specific Coverage: Maximum Increase</t>
  </si>
  <si>
    <t>Other Terms: Organ Transplants</t>
  </si>
  <si>
    <t>Include</t>
  </si>
  <si>
    <t>Other Terms: Retirees Covered</t>
  </si>
  <si>
    <t>Aggregate Coverage: Medical</t>
  </si>
  <si>
    <t>Aggregate Coverage: Prescription Drug Card</t>
  </si>
  <si>
    <t>Aggregate Coverage: Prescription SAAO</t>
  </si>
  <si>
    <t>Aggregate Coverage: Monthly Aggregate Accommodation</t>
  </si>
  <si>
    <t>Aggregate Coverage: Maximum Annual Reimbursement</t>
  </si>
  <si>
    <t>Aggregate Coverage: Deductible Corridor (Margin)</t>
  </si>
  <si>
    <t>Aggregate Coverage: Terminal Extension Provision</t>
  </si>
  <si>
    <t>Option 1 - Specific Contract Type</t>
  </si>
  <si>
    <t>24/12</t>
  </si>
  <si>
    <t>Option 1 - Annual Deductible Per Person</t>
  </si>
  <si>
    <t>Option 1 - Commissions</t>
  </si>
  <si>
    <t>Option 1 - Aggregating Specific Deductible</t>
  </si>
  <si>
    <t>Option 1 - Aggregate Contract Type</t>
  </si>
  <si>
    <t>Option 2?</t>
  </si>
  <si>
    <t>Option 2 - Specific Contract Type</t>
  </si>
  <si>
    <t>Option 2 - Annual Deductible Per Person</t>
  </si>
  <si>
    <t>Option 2 - Commissions</t>
  </si>
  <si>
    <t>Option 2 - Aggregating Specific Deductible</t>
  </si>
  <si>
    <t>Option 2 - Aggregate Contract Type</t>
  </si>
  <si>
    <t>Option 3?</t>
  </si>
  <si>
    <t>Option 3 - Specific Contract Type</t>
  </si>
  <si>
    <t>Option 3 - Annual Deductible Per Person</t>
  </si>
  <si>
    <t>Option 3 - Commissions</t>
  </si>
  <si>
    <t>Option 3 - Aggregating Specific Deductible</t>
  </si>
  <si>
    <t>Option 3 - Aggregate Contract Type</t>
  </si>
  <si>
    <t>Aggregate Experience</t>
  </si>
  <si>
    <t>Period From</t>
  </si>
  <si>
    <t>Period To</t>
  </si>
  <si>
    <t>Period Contract Basis</t>
  </si>
  <si>
    <t>Paid Claims Net of Loss Limit</t>
  </si>
  <si>
    <t>Total Paid Claims</t>
  </si>
  <si>
    <t>Average No of Employees (Lagged)</t>
  </si>
  <si>
    <t>1st Prior - Include period?</t>
  </si>
  <si>
    <t>2nd Prior - Include period?</t>
  </si>
  <si>
    <t>Specific - Contract Type</t>
  </si>
  <si>
    <t>Specific - Annual Deductible Per Person</t>
  </si>
  <si>
    <t>Specific - Aggregating Specific</t>
  </si>
  <si>
    <t>Aggregate - Contract Type</t>
  </si>
  <si>
    <t>Aggregate - Terminal Liability Rate</t>
  </si>
  <si>
    <t>30.2B</t>
  </si>
  <si>
    <t>Specific Quoting Rate Structure</t>
  </si>
  <si>
    <t>30.2A</t>
  </si>
  <si>
    <t>Specific Current Rate Structure</t>
  </si>
  <si>
    <t>30.2C</t>
  </si>
  <si>
    <t>30.2D</t>
  </si>
  <si>
    <t>30.2F</t>
  </si>
  <si>
    <t>Specific Rate EC</t>
  </si>
  <si>
    <t>30.2E</t>
  </si>
  <si>
    <t>Specific Rate F</t>
  </si>
  <si>
    <t>30.3A</t>
  </si>
  <si>
    <t>30.3B</t>
  </si>
  <si>
    <t>30.3C</t>
  </si>
  <si>
    <t>Aggregate Rate EC</t>
  </si>
  <si>
    <t>30.3D</t>
  </si>
  <si>
    <t>Aggregate Rate F</t>
  </si>
  <si>
    <t>30,4A</t>
  </si>
  <si>
    <t>Aggregate Current Rate Structure</t>
  </si>
  <si>
    <t>30.4C</t>
  </si>
  <si>
    <t>30.4D</t>
  </si>
  <si>
    <t>30.4E</t>
  </si>
  <si>
    <t>Aggregate Factor EC</t>
  </si>
  <si>
    <t>30.4F</t>
  </si>
  <si>
    <t>Aggregate Factor F</t>
  </si>
  <si>
    <t>Gender</t>
  </si>
  <si>
    <t>PPO</t>
  </si>
  <si>
    <t>Aetna</t>
  </si>
  <si>
    <t>No field ID</t>
  </si>
  <si>
    <t>Proposed Network(s)</t>
  </si>
  <si>
    <t>Option 1 - Primary Network</t>
  </si>
  <si>
    <t xml:space="preserve"> Discounts</t>
  </si>
  <si>
    <t>Option 1 - Secondary Network</t>
  </si>
  <si>
    <t>Situs State</t>
  </si>
  <si>
    <t>Option 2 - Primary Network</t>
  </si>
  <si>
    <t>Option 2 - Secondary Network</t>
  </si>
  <si>
    <t>Option 3 - Primary Network</t>
  </si>
  <si>
    <t>Submission Date</t>
  </si>
  <si>
    <t>Option 3 - Secondary Network</t>
  </si>
  <si>
    <t>Systems, Inc.</t>
  </si>
  <si>
    <t>;km, Margaret</t>
  </si>
  <si>
    <t>Current Carrier</t>
  </si>
  <si>
    <t>Current Administrator</t>
  </si>
  <si>
    <t>Proposed Administrator</t>
  </si>
  <si>
    <t xml:space="preserve"> Systems, Inc.</t>
  </si>
  <si>
    <t xml:space="preserve">Traditional </t>
  </si>
  <si>
    <t>Current Terms</t>
  </si>
  <si>
    <t>Proposed Terms</t>
  </si>
  <si>
    <t>Submission ID</t>
  </si>
  <si>
    <t>Quote#</t>
  </si>
  <si>
    <t>Option #</t>
  </si>
  <si>
    <t>Specific Contract Type</t>
  </si>
  <si>
    <t>Annual Deductible Per Person</t>
  </si>
  <si>
    <t>Commissions</t>
  </si>
  <si>
    <t>Aggregating Specific Deductible</t>
  </si>
  <si>
    <t>Aggregate Contract Type</t>
  </si>
  <si>
    <t>Current Commission</t>
  </si>
  <si>
    <t>Specific Rate EE/Composite</t>
  </si>
  <si>
    <t>Specific Rate ES/EE+1</t>
  </si>
  <si>
    <t>Specific TLO Rate</t>
  </si>
  <si>
    <t>Aggregate Coverage: None</t>
  </si>
  <si>
    <t>Aggregate Corridor</t>
  </si>
  <si>
    <t>Aggregate Rate EE/Composite</t>
  </si>
  <si>
    <t>Aggregate Rate ES/EE+1</t>
  </si>
  <si>
    <t>Aggregate - Monthly Aggregate Accommodation Rate</t>
  </si>
  <si>
    <t>Aggregate Quoting Factor Structure</t>
  </si>
  <si>
    <t>Aggregate Current Factor Structure</t>
  </si>
  <si>
    <t>Aggregate Factor EE/Composite</t>
  </si>
  <si>
    <t>Aggregate Factor ES/EE+1</t>
  </si>
  <si>
    <t>Proposed Options</t>
  </si>
  <si>
    <t>LLC</t>
  </si>
  <si>
    <t>Primary PPO Network</t>
  </si>
  <si>
    <t>Secondary PPO Network</t>
  </si>
  <si>
    <t>, Margaret</t>
  </si>
  <si>
    <t>Specific Coverage: Prescription SAAO</t>
  </si>
  <si>
    <t>Aggregate Coverage: Dental</t>
  </si>
  <si>
    <t>Aggregate Coverage: Vision</t>
  </si>
  <si>
    <t>Proposed Benefit Plan 1</t>
  </si>
  <si>
    <t>Out-of-Pocket Maximum: the maximum amount (listed on the Schedule of Benefits) incurred during a
Benefit Year that a Member will be required to pay.</t>
  </si>
  <si>
    <t>Proposed Benefit Plan 2</t>
  </si>
  <si>
    <t>Proposed Benefit Plan 3</t>
  </si>
  <si>
    <t>Benefits</t>
  </si>
  <si>
    <t>Plan Description / Name</t>
  </si>
  <si>
    <t>Current, Proposed, or Both?</t>
  </si>
  <si>
    <t>Rxt Drug Card - Generic</t>
  </si>
  <si>
    <t>Rx Drug Card - Brand</t>
  </si>
  <si>
    <t>Rx Drug Card - Non-Formulary</t>
  </si>
  <si>
    <t>Current</t>
  </si>
  <si>
    <t>Specific Experience - Current Period</t>
  </si>
  <si>
    <t>Submission Id</t>
  </si>
  <si>
    <t>Exp Period</t>
  </si>
  <si>
    <t>DRT</t>
  </si>
  <si>
    <t>Nurses</t>
  </si>
  <si>
    <t>Age</t>
  </si>
  <si>
    <t>3zip</t>
  </si>
  <si>
    <t>HCUP</t>
  </si>
  <si>
    <t>Partial Claim</t>
  </si>
  <si>
    <t>ICD - 10</t>
  </si>
  <si>
    <t>NDC</t>
  </si>
  <si>
    <t xml:space="preserve"> Plan</t>
  </si>
  <si>
    <t>Network</t>
  </si>
  <si>
    <t>Specific NNL/Rate Cap</t>
  </si>
  <si>
    <t>Specific TLO</t>
  </si>
  <si>
    <t>Aggregate TLO</t>
  </si>
  <si>
    <t>Paid</t>
  </si>
  <si>
    <t>Current &amp; Alternate</t>
  </si>
  <si>
    <t>Alternate</t>
  </si>
  <si>
    <t>Scenario 1</t>
  </si>
  <si>
    <t>Cigna</t>
  </si>
  <si>
    <t>PHCS</t>
  </si>
  <si>
    <t>100% Medicare</t>
  </si>
  <si>
    <t>Scenario 2</t>
  </si>
  <si>
    <t>18/12</t>
  </si>
  <si>
    <t>Scenario 3</t>
  </si>
  <si>
    <t>15/12</t>
  </si>
  <si>
    <t>Scenario 4</t>
  </si>
  <si>
    <t>12/12</t>
  </si>
  <si>
    <t>12/15</t>
  </si>
  <si>
    <t>12/18</t>
  </si>
  <si>
    <t>12/24</t>
  </si>
  <si>
    <t>STLO Error</t>
  </si>
  <si>
    <t>Other</t>
  </si>
  <si>
    <t>ATLO Error</t>
  </si>
  <si>
    <t>ISL Run-Out?</t>
  </si>
  <si>
    <t>Current &amp; Proposed</t>
  </si>
  <si>
    <t>ISL</t>
  </si>
  <si>
    <t>Proposed</t>
  </si>
  <si>
    <t>ASL Run-Out?</t>
  </si>
  <si>
    <t>Option 1</t>
  </si>
  <si>
    <t>Option 2</t>
  </si>
  <si>
    <t>Option 3</t>
  </si>
  <si>
    <t>insert something</t>
  </si>
  <si>
    <t>w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</si>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</sst>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$#,##0"/>
    <numFmt numFmtId="166" formatCode="\$#,##0\ ;[Red]&quot;($&quot;#,##0\)"/>
    <numFmt numFmtId="167" formatCode="\$#,##0.00"/>
  </numFmts>
  <fonts count="6">
    <font>
      <sz val="11"/>
      <color rgb="FF000000"/>
      <name val="SwissReSans"/>
      <family val="2"/>
      <charset val="1"/>
    </font>
    <font>
      <b/>
      <sz val="11"/>
      <color rgb="FFFFFFFF"/>
      <name val="SwissReSans"/>
      <family val="2"/>
      <charset val="1"/>
    </font>
    <font>
      <b/>
      <sz val="11"/>
      <color rgb="FF000000"/>
      <name val="SwissReSans"/>
      <family val="2"/>
      <charset val="1"/>
    </font>
    <font>
      <i/>
      <sz val="11"/>
      <color rgb="FF000000"/>
      <name val="SwissReSans"/>
      <family val="2"/>
      <charset val="1"/>
    </font>
    <font>
      <b/>
      <sz val="11"/>
      <name val="SwissReSans"/>
      <family val="2"/>
      <charset val="1"/>
    </font>
    <font>
      <sz val="11"/>
      <color rgb="FF000000"/>
      <name val="SwissReSans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ADD58A"/>
      </patternFill>
    </fill>
    <fill>
      <patternFill patternType="solid">
        <fgColor rgb="FFAFABAB"/>
        <bgColor rgb="FFBFBFBF"/>
      </patternFill>
    </fill>
    <fill>
      <patternFill patternType="solid">
        <fgColor rgb="FF0070C0"/>
        <bgColor rgb="FF008080"/>
      </patternFill>
    </fill>
    <fill>
      <patternFill patternType="solid">
        <fgColor rgb="FFBFBFBF"/>
        <bgColor rgb="FFAFABAB"/>
      </patternFill>
    </fill>
    <fill>
      <patternFill patternType="solid">
        <fgColor rgb="FFADD58A"/>
        <bgColor rgb="FFC2E0AE"/>
      </patternFill>
    </fill>
    <fill>
      <patternFill patternType="solid">
        <fgColor rgb="FFC2E0AE"/>
        <bgColor rgb="FFADD58A"/>
      </patternFill>
    </fill>
    <fill>
      <patternFill patternType="solid">
        <fgColor rgb="FFFFF2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Border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3" fillId="0" borderId="5" xfId="0" applyFont="1" applyBorder="1"/>
    <xf numFmtId="0" fontId="0" fillId="0" borderId="7" xfId="0" applyBorder="1"/>
    <xf numFmtId="0" fontId="0" fillId="2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0" fillId="0" borderId="5" xfId="0" applyNumberFormat="1" applyBorder="1" applyAlignment="1">
      <alignment horizontal="left"/>
    </xf>
    <xf numFmtId="0" fontId="0" fillId="3" borderId="8" xfId="0" applyFill="1" applyBorder="1" applyAlignment="1">
      <alignment horizontal="center"/>
    </xf>
    <xf numFmtId="0" fontId="2" fillId="0" borderId="3" xfId="0" applyFont="1" applyBorder="1"/>
    <xf numFmtId="1" fontId="0" fillId="0" borderId="5" xfId="0" applyNumberFormat="1" applyBorder="1"/>
    <xf numFmtId="165" fontId="0" fillId="0" borderId="6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7" xfId="0" applyNumberFormat="1" applyBorder="1"/>
    <xf numFmtId="0" fontId="0" fillId="0" borderId="2" xfId="0" applyBorder="1"/>
    <xf numFmtId="0" fontId="0" fillId="0" borderId="4" xfId="0" applyBorder="1"/>
    <xf numFmtId="1" fontId="2" fillId="0" borderId="5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9" fontId="5" fillId="0" borderId="10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5" xfId="0" applyFill="1" applyBorder="1"/>
    <xf numFmtId="16" fontId="0" fillId="0" borderId="6" xfId="0" applyNumberFormat="1" applyBorder="1" applyAlignment="1">
      <alignment horizontal="center"/>
    </xf>
    <xf numFmtId="0" fontId="0" fillId="7" borderId="5" xfId="0" applyFill="1" applyBorder="1"/>
    <xf numFmtId="0" fontId="0" fillId="0" borderId="0" xfId="0" applyAlignment="1">
      <alignment wrapText="1"/>
    </xf>
    <xf numFmtId="1" fontId="0" fillId="6" borderId="5" xfId="0" applyNumberFormat="1" applyFill="1" applyBorder="1"/>
    <xf numFmtId="1" fontId="0" fillId="8" borderId="7" xfId="0" applyNumberFormat="1" applyFill="1" applyBorder="1"/>
    <xf numFmtId="166" fontId="0" fillId="0" borderId="8" xfId="0" applyNumberFormat="1" applyBorder="1" applyAlignment="1">
      <alignment horizontal="center"/>
    </xf>
    <xf numFmtId="16" fontId="0" fillId="2" borderId="6" xfId="0" applyNumberForma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9" borderId="0" xfId="0" applyFill="1"/>
    <xf numFmtId="0" fontId="0" fillId="0" borderId="12" xfId="0" applyBorder="1"/>
    <xf numFmtId="0" fontId="0" fillId="0" borderId="12" xfId="0" applyBorder="1" applyAlignment="1">
      <alignment horizontal="center"/>
    </xf>
    <xf numFmtId="16" fontId="0" fillId="0" borderId="12" xfId="0" applyNumberFormat="1" applyBorder="1"/>
    <xf numFmtId="1" fontId="0" fillId="0" borderId="12" xfId="0" applyNumberFormat="1" applyBorder="1"/>
    <xf numFmtId="0" fontId="0" fillId="10" borderId="12" xfId="0" applyFill="1" applyBorder="1"/>
    <xf numFmtId="0" fontId="0" fillId="10" borderId="12" xfId="0" applyFill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2E0AE"/>
      <rgbColor rgb="FFFFFF99"/>
      <rgbColor rgb="FFADD58A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8"/>
  <sheetViews>
    <sheetView showGridLines="0" topLeftCell="A6" zoomScale="80" zoomScaleNormal="90" workbookViewId="0">
      <selection activeCell="D20" sqref="D20:D43"/>
    </sheetView>
  </sheetViews>
  <sheetFormatPr defaultColWidth="8.5" defaultRowHeight="13.8"/>
  <cols>
    <col min="2" max="2" width="7" style="1" customWidth="1"/>
    <col min="3" max="3" width="41.5" customWidth="1"/>
    <col min="4" max="4" width="26.8984375" style="1" customWidth="1"/>
    <col min="6" max="6" width="8.8984375" style="1" customWidth="1"/>
    <col min="7" max="7" width="44.5" customWidth="1"/>
    <col min="8" max="8" width="26.5" style="1" customWidth="1"/>
    <col min="9" max="9" width="8.5" style="66"/>
    <col min="10" max="10" width="5.5" customWidth="1"/>
    <col min="11" max="11" width="11.5" customWidth="1"/>
    <col min="12" max="12" width="6.5" customWidth="1"/>
    <col min="13" max="13" width="7.5" customWidth="1"/>
    <col min="14" max="14" width="18.296875" customWidth="1"/>
    <col min="15" max="15" width="23.5" customWidth="1"/>
    <col min="16" max="16" width="11" customWidth="1"/>
    <col min="17" max="17" width="25.19921875" customWidth="1"/>
    <col min="18" max="18" width="19.59765625" customWidth="1"/>
    <col min="19" max="19" width="31.59765625" customWidth="1"/>
  </cols>
  <sheetData>
    <row r="1" spans="2:8">
      <c r="D1" s="6" t="s">
        <v>112</v>
      </c>
      <c r="E1" s="66"/>
    </row>
    <row r="2" spans="2:8">
      <c r="B2" s="7" t="s">
        <v>0</v>
      </c>
      <c r="C2" s="8" t="s">
        <v>2</v>
      </c>
      <c r="D2" s="9" t="s">
        <v>1</v>
      </c>
      <c r="E2" s="66"/>
      <c r="G2" s="8" t="s">
        <v>113</v>
      </c>
      <c r="H2" s="10"/>
    </row>
    <row r="3" spans="2:8">
      <c r="B3" s="4">
        <v>2.1</v>
      </c>
      <c r="C3" s="11" t="s">
        <v>3</v>
      </c>
      <c r="D3" s="12" t="s">
        <v>4</v>
      </c>
      <c r="E3" s="66"/>
      <c r="F3" s="1">
        <v>12.1</v>
      </c>
      <c r="G3" s="11" t="s">
        <v>114</v>
      </c>
      <c r="H3" s="12" t="s">
        <v>115</v>
      </c>
    </row>
    <row r="4" spans="2:8">
      <c r="B4" s="4"/>
      <c r="C4" s="11" t="s">
        <v>12</v>
      </c>
      <c r="D4" s="13"/>
      <c r="E4" s="66"/>
      <c r="G4" s="11" t="s">
        <v>116</v>
      </c>
      <c r="H4" s="13"/>
    </row>
    <row r="5" spans="2:8">
      <c r="B5" s="4"/>
      <c r="C5" s="11" t="s">
        <v>117</v>
      </c>
      <c r="D5" s="13"/>
      <c r="E5" s="66"/>
      <c r="G5" s="11" t="s">
        <v>118</v>
      </c>
      <c r="H5" s="13"/>
    </row>
    <row r="6" spans="2:8">
      <c r="B6" s="4"/>
      <c r="C6" s="11" t="s">
        <v>11</v>
      </c>
      <c r="D6" s="13"/>
      <c r="E6" s="66"/>
      <c r="G6" s="11" t="s">
        <v>119</v>
      </c>
      <c r="H6" s="13"/>
    </row>
    <row r="7" spans="2:8">
      <c r="B7" s="4">
        <v>2.2000000000000002</v>
      </c>
      <c r="C7" s="11" t="s">
        <v>5</v>
      </c>
      <c r="D7" s="14">
        <v>44197</v>
      </c>
      <c r="E7" s="66"/>
      <c r="G7" s="11" t="s">
        <v>120</v>
      </c>
      <c r="H7" s="13"/>
    </row>
    <row r="8" spans="2:8" ht="14.4">
      <c r="B8" s="4">
        <v>2.2999999999999998</v>
      </c>
      <c r="C8" s="15" t="s">
        <v>121</v>
      </c>
      <c r="D8" s="14">
        <v>44062</v>
      </c>
      <c r="E8" s="66"/>
      <c r="G8" s="16" t="s">
        <v>122</v>
      </c>
      <c r="H8" s="17"/>
    </row>
    <row r="9" spans="2:8">
      <c r="B9" s="4">
        <v>2.4</v>
      </c>
      <c r="C9" s="11" t="s">
        <v>6</v>
      </c>
      <c r="D9" s="14">
        <v>44076</v>
      </c>
      <c r="E9" s="66"/>
    </row>
    <row r="10" spans="2:8">
      <c r="B10" s="4">
        <v>2.5</v>
      </c>
      <c r="C10" s="11" t="s">
        <v>7</v>
      </c>
      <c r="D10" s="18" t="s">
        <v>123</v>
      </c>
      <c r="E10" s="66"/>
    </row>
    <row r="11" spans="2:8">
      <c r="B11" s="4">
        <v>2.6</v>
      </c>
      <c r="C11" s="11" t="s">
        <v>8</v>
      </c>
      <c r="D11" s="12" t="s">
        <v>124</v>
      </c>
      <c r="E11" s="66"/>
    </row>
    <row r="12" spans="2:8">
      <c r="B12" s="4">
        <v>2.7</v>
      </c>
      <c r="C12" s="19" t="s">
        <v>9</v>
      </c>
      <c r="D12" s="12"/>
      <c r="E12" s="66"/>
    </row>
    <row r="13" spans="2:8">
      <c r="B13" s="4"/>
      <c r="C13" s="19" t="s">
        <v>125</v>
      </c>
      <c r="D13" s="13"/>
      <c r="E13" s="66"/>
    </row>
    <row r="14" spans="2:8">
      <c r="B14" s="4"/>
      <c r="C14" s="19" t="s">
        <v>126</v>
      </c>
      <c r="D14" s="13"/>
      <c r="E14" s="66"/>
    </row>
    <row r="15" spans="2:8">
      <c r="B15" s="4"/>
      <c r="C15" s="19" t="s">
        <v>35</v>
      </c>
      <c r="D15" s="13"/>
      <c r="E15" s="66"/>
    </row>
    <row r="16" spans="2:8">
      <c r="B16" s="4">
        <v>2.8</v>
      </c>
      <c r="C16" s="11" t="s">
        <v>127</v>
      </c>
      <c r="D16" s="18" t="s">
        <v>128</v>
      </c>
      <c r="E16" s="66"/>
    </row>
    <row r="17" spans="1:18">
      <c r="B17" s="4">
        <v>2.14</v>
      </c>
      <c r="C17" s="16" t="s">
        <v>10</v>
      </c>
      <c r="D17" s="20" t="s">
        <v>129</v>
      </c>
      <c r="E17" s="66"/>
    </row>
    <row r="18" spans="1:18">
      <c r="A18" s="66"/>
      <c r="B18" s="67"/>
      <c r="C18" s="66"/>
      <c r="D18" s="68"/>
      <c r="E18" s="66"/>
      <c r="F18" s="68"/>
      <c r="G18" s="66"/>
      <c r="H18" s="68"/>
      <c r="J18" s="66"/>
      <c r="K18" s="66"/>
      <c r="L18" s="66"/>
      <c r="M18" s="66"/>
      <c r="N18" s="66"/>
    </row>
    <row r="19" spans="1:18">
      <c r="B19" s="4"/>
      <c r="C19" s="21" t="s">
        <v>130</v>
      </c>
      <c r="D19" s="10"/>
      <c r="E19" s="66"/>
      <c r="G19" s="21" t="s">
        <v>131</v>
      </c>
      <c r="H19" s="10"/>
      <c r="K19" s="1" t="s">
        <v>132</v>
      </c>
      <c r="L19" s="1" t="s">
        <v>133</v>
      </c>
      <c r="M19" s="1" t="s">
        <v>134</v>
      </c>
      <c r="N19" s="1" t="s">
        <v>135</v>
      </c>
      <c r="O19" s="1" t="s">
        <v>136</v>
      </c>
      <c r="P19" s="1" t="s">
        <v>137</v>
      </c>
      <c r="Q19" s="1" t="s">
        <v>138</v>
      </c>
      <c r="R19" s="1" t="s">
        <v>139</v>
      </c>
    </row>
    <row r="20" spans="1:18">
      <c r="B20" s="1">
        <v>30.1</v>
      </c>
      <c r="C20" s="22" t="s">
        <v>80</v>
      </c>
      <c r="D20" s="12"/>
      <c r="E20" s="66"/>
      <c r="F20" s="1">
        <v>17.100000000000001</v>
      </c>
      <c r="G20" s="11" t="s">
        <v>36</v>
      </c>
      <c r="H20" s="12" t="s">
        <v>16</v>
      </c>
      <c r="K20" s="1">
        <v>1</v>
      </c>
      <c r="L20" s="1">
        <v>1</v>
      </c>
      <c r="M20" s="1">
        <v>1</v>
      </c>
      <c r="N20" s="12" t="s">
        <v>54</v>
      </c>
      <c r="O20" s="23">
        <v>25000</v>
      </c>
      <c r="P20" s="24">
        <v>0</v>
      </c>
      <c r="Q20" s="25">
        <v>0</v>
      </c>
      <c r="R20" s="12" t="s">
        <v>54</v>
      </c>
    </row>
    <row r="21" spans="1:18">
      <c r="B21" s="1">
        <v>30.11</v>
      </c>
      <c r="C21" s="22" t="s">
        <v>81</v>
      </c>
      <c r="D21" s="12"/>
      <c r="E21" s="66"/>
      <c r="F21" s="1">
        <v>17.2</v>
      </c>
      <c r="G21" s="11" t="s">
        <v>37</v>
      </c>
      <c r="H21" s="12" t="s">
        <v>16</v>
      </c>
      <c r="J21" s="1"/>
      <c r="K21" s="1">
        <v>1</v>
      </c>
      <c r="L21" s="1">
        <v>1</v>
      </c>
      <c r="M21" s="1">
        <v>2</v>
      </c>
      <c r="N21" s="12" t="s">
        <v>54</v>
      </c>
      <c r="O21" s="23">
        <v>30000</v>
      </c>
      <c r="P21" s="24">
        <v>0</v>
      </c>
      <c r="Q21" s="25">
        <v>0</v>
      </c>
      <c r="R21" s="12" t="s">
        <v>54</v>
      </c>
    </row>
    <row r="22" spans="1:18">
      <c r="B22" s="1">
        <v>30.12</v>
      </c>
      <c r="C22" s="22" t="s">
        <v>82</v>
      </c>
      <c r="D22" s="12"/>
      <c r="E22" s="66"/>
      <c r="F22" s="1">
        <v>17.3</v>
      </c>
      <c r="G22" s="11" t="s">
        <v>38</v>
      </c>
      <c r="H22" s="12" t="s">
        <v>31</v>
      </c>
      <c r="K22" s="1">
        <v>1</v>
      </c>
      <c r="L22" s="1">
        <v>1</v>
      </c>
      <c r="M22" s="1">
        <v>3</v>
      </c>
      <c r="N22" s="12" t="s">
        <v>54</v>
      </c>
      <c r="O22" s="23">
        <v>35000</v>
      </c>
      <c r="P22" s="12">
        <v>0</v>
      </c>
      <c r="Q22" s="25">
        <v>10000</v>
      </c>
      <c r="R22" s="26" t="s">
        <v>54</v>
      </c>
    </row>
    <row r="23" spans="1:18">
      <c r="B23" s="1">
        <v>30.125</v>
      </c>
      <c r="C23" s="22" t="s">
        <v>140</v>
      </c>
      <c r="D23" s="12"/>
      <c r="E23" s="66"/>
      <c r="F23" s="1">
        <v>18.100000000000001</v>
      </c>
      <c r="G23" s="22" t="s">
        <v>39</v>
      </c>
      <c r="H23" s="12" t="s">
        <v>31</v>
      </c>
    </row>
    <row r="24" spans="1:18">
      <c r="B24" s="1" t="s">
        <v>87</v>
      </c>
      <c r="C24" s="22" t="s">
        <v>88</v>
      </c>
      <c r="D24" s="12"/>
      <c r="E24" s="66"/>
      <c r="F24" s="1">
        <v>18.2</v>
      </c>
      <c r="G24" s="22" t="s">
        <v>40</v>
      </c>
      <c r="H24" s="12" t="s">
        <v>31</v>
      </c>
    </row>
    <row r="25" spans="1:18">
      <c r="B25" s="1" t="s">
        <v>89</v>
      </c>
      <c r="C25" s="22" t="s">
        <v>141</v>
      </c>
      <c r="D25" s="12"/>
      <c r="E25" s="66"/>
      <c r="F25" s="1">
        <v>18.3</v>
      </c>
      <c r="G25" s="22" t="s">
        <v>41</v>
      </c>
      <c r="H25" s="12" t="s">
        <v>16</v>
      </c>
    </row>
    <row r="26" spans="1:18">
      <c r="B26" s="1" t="s">
        <v>90</v>
      </c>
      <c r="C26" s="22" t="s">
        <v>142</v>
      </c>
      <c r="D26" s="12"/>
      <c r="E26" s="66"/>
      <c r="F26" s="1">
        <v>18.399999999999999</v>
      </c>
      <c r="G26" s="22" t="s">
        <v>42</v>
      </c>
      <c r="H26" s="24">
        <v>0.4</v>
      </c>
    </row>
    <row r="27" spans="1:18">
      <c r="B27" s="1" t="s">
        <v>91</v>
      </c>
      <c r="C27" s="22" t="s">
        <v>92</v>
      </c>
      <c r="D27" s="12"/>
      <c r="E27" s="66"/>
      <c r="F27" s="1">
        <v>18.5</v>
      </c>
      <c r="G27" s="22" t="s">
        <v>43</v>
      </c>
      <c r="H27" s="12" t="s">
        <v>44</v>
      </c>
    </row>
    <row r="28" spans="1:18">
      <c r="B28" s="1" t="s">
        <v>93</v>
      </c>
      <c r="C28" s="22" t="s">
        <v>94</v>
      </c>
      <c r="D28" s="12"/>
      <c r="E28" s="66"/>
      <c r="F28" s="1">
        <v>18.600000000000001</v>
      </c>
      <c r="G28" s="22" t="s">
        <v>45</v>
      </c>
      <c r="H28" s="12" t="s">
        <v>31</v>
      </c>
    </row>
    <row r="29" spans="1:18">
      <c r="C29" s="22" t="s">
        <v>143</v>
      </c>
      <c r="D29" s="13"/>
      <c r="E29" s="66"/>
      <c r="G29" s="22" t="s">
        <v>144</v>
      </c>
      <c r="H29" s="13"/>
    </row>
    <row r="30" spans="1:18">
      <c r="B30" s="1">
        <v>30.14</v>
      </c>
      <c r="C30" s="22" t="s">
        <v>83</v>
      </c>
      <c r="D30" s="12"/>
      <c r="E30" s="66"/>
      <c r="F30" s="1">
        <v>19.5</v>
      </c>
      <c r="G30" s="11" t="s">
        <v>46</v>
      </c>
      <c r="H30" s="12" t="s">
        <v>16</v>
      </c>
    </row>
    <row r="31" spans="1:18">
      <c r="C31" s="22" t="s">
        <v>145</v>
      </c>
      <c r="D31" s="13"/>
      <c r="E31" s="66"/>
      <c r="F31" s="1">
        <v>19.600000000000001</v>
      </c>
      <c r="G31" s="11" t="s">
        <v>47</v>
      </c>
      <c r="H31" s="12" t="s">
        <v>16</v>
      </c>
    </row>
    <row r="32" spans="1:18">
      <c r="C32" s="22" t="s">
        <v>102</v>
      </c>
      <c r="D32" s="13"/>
      <c r="E32" s="66"/>
      <c r="F32" s="1">
        <v>19.7</v>
      </c>
      <c r="G32" s="11" t="s">
        <v>48</v>
      </c>
      <c r="H32" s="12" t="s">
        <v>31</v>
      </c>
    </row>
    <row r="33" spans="2:8">
      <c r="B33" s="1" t="s">
        <v>95</v>
      </c>
      <c r="C33" s="22" t="s">
        <v>146</v>
      </c>
      <c r="D33" s="12"/>
      <c r="E33" s="66"/>
      <c r="F33" s="1">
        <v>19.809999999999999</v>
      </c>
      <c r="G33" s="22" t="s">
        <v>49</v>
      </c>
      <c r="H33" s="12" t="s">
        <v>31</v>
      </c>
    </row>
    <row r="34" spans="2:8">
      <c r="B34" s="1" t="s">
        <v>96</v>
      </c>
      <c r="C34" s="22" t="s">
        <v>147</v>
      </c>
      <c r="D34" s="12"/>
      <c r="E34" s="66"/>
      <c r="F34" s="1">
        <v>19.82</v>
      </c>
      <c r="G34" s="22" t="s">
        <v>50</v>
      </c>
      <c r="H34" s="23">
        <v>1000000</v>
      </c>
    </row>
    <row r="35" spans="2:8">
      <c r="B35" s="1" t="s">
        <v>97</v>
      </c>
      <c r="C35" s="22" t="s">
        <v>98</v>
      </c>
      <c r="D35" s="12"/>
      <c r="E35" s="66"/>
      <c r="F35" s="1">
        <v>19.829999999999998</v>
      </c>
      <c r="G35" s="22" t="s">
        <v>51</v>
      </c>
      <c r="H35" s="24">
        <v>1.25</v>
      </c>
    </row>
    <row r="36" spans="2:8">
      <c r="B36" s="1" t="s">
        <v>99</v>
      </c>
      <c r="C36" s="22" t="s">
        <v>100</v>
      </c>
      <c r="D36" s="12"/>
      <c r="E36" s="66"/>
      <c r="F36" s="1">
        <v>19.84</v>
      </c>
      <c r="G36" s="22" t="s">
        <v>52</v>
      </c>
      <c r="H36" s="24" t="s">
        <v>31</v>
      </c>
    </row>
    <row r="37" spans="2:8">
      <c r="B37" s="1">
        <v>30.15</v>
      </c>
      <c r="C37" s="22" t="s">
        <v>84</v>
      </c>
      <c r="D37" s="12"/>
      <c r="E37" s="66"/>
      <c r="F37" s="1" t="s">
        <v>85</v>
      </c>
      <c r="G37" s="22" t="s">
        <v>86</v>
      </c>
      <c r="H37" s="12">
        <v>2</v>
      </c>
    </row>
    <row r="38" spans="2:8">
      <c r="B38" s="1">
        <v>30.13</v>
      </c>
      <c r="C38" s="22" t="s">
        <v>148</v>
      </c>
      <c r="D38" s="12"/>
      <c r="E38" s="66"/>
      <c r="G38" s="22" t="s">
        <v>149</v>
      </c>
      <c r="H38" s="13"/>
    </row>
    <row r="39" spans="2:8">
      <c r="B39" s="1" t="s">
        <v>101</v>
      </c>
      <c r="C39" s="22" t="s">
        <v>150</v>
      </c>
      <c r="D39" s="12"/>
      <c r="E39" s="66"/>
      <c r="F39" s="1">
        <v>21.13</v>
      </c>
      <c r="G39" s="11" t="s">
        <v>53</v>
      </c>
      <c r="H39" s="12" t="s">
        <v>54</v>
      </c>
    </row>
    <row r="40" spans="2:8">
      <c r="B40" s="1" t="s">
        <v>103</v>
      </c>
      <c r="C40" s="22" t="s">
        <v>151</v>
      </c>
      <c r="D40" s="12"/>
      <c r="E40" s="66"/>
      <c r="F40" s="1">
        <v>21.14</v>
      </c>
      <c r="G40" s="11" t="s">
        <v>55</v>
      </c>
      <c r="H40" s="23">
        <v>25000</v>
      </c>
    </row>
    <row r="41" spans="2:8">
      <c r="B41" s="1" t="s">
        <v>104</v>
      </c>
      <c r="C41" s="22" t="s">
        <v>152</v>
      </c>
      <c r="D41" s="12"/>
      <c r="E41" s="66"/>
      <c r="F41" s="1">
        <v>21.15</v>
      </c>
      <c r="G41" s="22" t="s">
        <v>56</v>
      </c>
      <c r="H41" s="24">
        <v>0</v>
      </c>
    </row>
    <row r="42" spans="2:8">
      <c r="B42" s="1" t="s">
        <v>105</v>
      </c>
      <c r="C42" s="22" t="s">
        <v>106</v>
      </c>
      <c r="D42" s="12"/>
      <c r="E42" s="66"/>
      <c r="F42" s="1">
        <v>21.16</v>
      </c>
      <c r="G42" s="22" t="s">
        <v>57</v>
      </c>
      <c r="H42" s="25">
        <v>0</v>
      </c>
    </row>
    <row r="43" spans="2:8">
      <c r="B43" s="1" t="s">
        <v>107</v>
      </c>
      <c r="C43" s="27" t="s">
        <v>108</v>
      </c>
      <c r="D43" s="26"/>
      <c r="E43" s="66"/>
      <c r="F43" s="1">
        <v>21.17</v>
      </c>
      <c r="G43" s="11" t="s">
        <v>58</v>
      </c>
      <c r="H43" s="12" t="s">
        <v>54</v>
      </c>
    </row>
    <row r="44" spans="2:8">
      <c r="E44" s="66"/>
      <c r="F44" s="1">
        <v>21.2</v>
      </c>
      <c r="G44" s="22" t="s">
        <v>59</v>
      </c>
      <c r="H44" s="12" t="s">
        <v>16</v>
      </c>
    </row>
    <row r="45" spans="2:8">
      <c r="E45" s="66"/>
      <c r="F45" s="1">
        <v>21.21</v>
      </c>
      <c r="G45" s="22" t="s">
        <v>60</v>
      </c>
      <c r="H45" s="12" t="s">
        <v>54</v>
      </c>
    </row>
    <row r="46" spans="2:8">
      <c r="E46" s="66"/>
      <c r="F46" s="1">
        <v>21.22</v>
      </c>
      <c r="G46" s="22" t="s">
        <v>61</v>
      </c>
      <c r="H46" s="23">
        <v>30000</v>
      </c>
    </row>
    <row r="47" spans="2:8">
      <c r="E47" s="66"/>
      <c r="F47" s="1">
        <v>21.23</v>
      </c>
      <c r="G47" s="22" t="s">
        <v>62</v>
      </c>
      <c r="H47" s="24">
        <v>0</v>
      </c>
    </row>
    <row r="48" spans="2:8">
      <c r="E48" s="66"/>
      <c r="F48" s="1">
        <v>21.24</v>
      </c>
      <c r="G48" s="22" t="s">
        <v>63</v>
      </c>
      <c r="H48" s="25">
        <v>0</v>
      </c>
    </row>
    <row r="49" spans="5:8">
      <c r="E49" s="66"/>
      <c r="F49" s="1">
        <v>21.25</v>
      </c>
      <c r="G49" s="22" t="s">
        <v>64</v>
      </c>
      <c r="H49" s="12" t="s">
        <v>54</v>
      </c>
    </row>
    <row r="50" spans="5:8">
      <c r="E50" s="66"/>
      <c r="F50" s="1">
        <v>21.3</v>
      </c>
      <c r="G50" s="22" t="s">
        <v>65</v>
      </c>
      <c r="H50" s="12" t="s">
        <v>16</v>
      </c>
    </row>
    <row r="51" spans="5:8">
      <c r="E51" s="66"/>
      <c r="F51" s="1">
        <v>21.31</v>
      </c>
      <c r="G51" s="22" t="s">
        <v>66</v>
      </c>
      <c r="H51" s="12" t="s">
        <v>54</v>
      </c>
    </row>
    <row r="52" spans="5:8">
      <c r="E52" s="66"/>
      <c r="F52" s="1">
        <v>21.32</v>
      </c>
      <c r="G52" s="22" t="s">
        <v>67</v>
      </c>
      <c r="H52" s="23">
        <v>35000</v>
      </c>
    </row>
    <row r="53" spans="5:8">
      <c r="E53" s="66"/>
      <c r="F53" s="1">
        <v>21.33</v>
      </c>
      <c r="G53" s="22" t="s">
        <v>68</v>
      </c>
      <c r="H53" s="12">
        <v>0</v>
      </c>
    </row>
    <row r="54" spans="5:8">
      <c r="E54" s="66"/>
      <c r="F54" s="1">
        <v>21.34</v>
      </c>
      <c r="G54" s="22" t="s">
        <v>69</v>
      </c>
      <c r="H54" s="25">
        <v>10000</v>
      </c>
    </row>
    <row r="55" spans="5:8">
      <c r="E55" s="66"/>
      <c r="F55" s="1">
        <v>21.35</v>
      </c>
      <c r="G55" s="27" t="s">
        <v>70</v>
      </c>
      <c r="H55" s="26" t="s">
        <v>54</v>
      </c>
    </row>
    <row r="56" spans="5:8">
      <c r="E56" s="66"/>
    </row>
    <row r="57" spans="5:8">
      <c r="E57" s="66"/>
    </row>
    <row r="58" spans="5:8">
      <c r="E58" s="66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66"/>
  <sheetViews>
    <sheetView showGridLines="0" zoomScale="47" zoomScaleNormal="80" workbookViewId="0">
      <selection activeCell="D43" sqref="D43"/>
    </sheetView>
  </sheetViews>
  <sheetFormatPr defaultColWidth="8.5" defaultRowHeight="13.8"/>
  <cols>
    <col min="2" max="2" width="7" style="1" customWidth="1"/>
    <col min="3" max="3" width="41.5" customWidth="1"/>
    <col min="4" max="4" width="26.8984375" style="1" customWidth="1"/>
    <col min="6" max="6" width="14.59765625" customWidth="1"/>
    <col min="7" max="7" width="20.19921875" customWidth="1"/>
    <col min="8" max="8" width="22.59765625" customWidth="1"/>
    <col min="9" max="9" width="20.09765625" customWidth="1"/>
    <col min="10" max="10" width="27" customWidth="1"/>
    <col min="11" max="11" width="13" customWidth="1"/>
    <col min="12" max="12" width="28.8984375" customWidth="1"/>
    <col min="13" max="13" width="23.19921875" customWidth="1"/>
  </cols>
  <sheetData>
    <row r="2" spans="2:13">
      <c r="B2" s="7" t="s">
        <v>0</v>
      </c>
      <c r="C2" s="8" t="s">
        <v>2</v>
      </c>
      <c r="D2" s="9" t="s">
        <v>1</v>
      </c>
      <c r="F2" s="21" t="s">
        <v>153</v>
      </c>
      <c r="G2" s="28"/>
      <c r="H2" s="28"/>
      <c r="I2" s="28"/>
      <c r="J2" s="28"/>
      <c r="K2" s="28"/>
      <c r="L2" s="28"/>
      <c r="M2" s="29"/>
    </row>
    <row r="3" spans="2:13">
      <c r="B3" s="4">
        <v>2.1</v>
      </c>
      <c r="C3" s="11" t="s">
        <v>3</v>
      </c>
      <c r="D3" s="12" t="s">
        <v>154</v>
      </c>
      <c r="F3" s="30" t="s">
        <v>134</v>
      </c>
      <c r="G3" s="2" t="s">
        <v>155</v>
      </c>
      <c r="H3" s="2" t="s">
        <v>156</v>
      </c>
      <c r="I3" s="2" t="s">
        <v>135</v>
      </c>
      <c r="J3" s="2" t="s">
        <v>136</v>
      </c>
      <c r="K3" s="31" t="s">
        <v>137</v>
      </c>
      <c r="L3" s="31" t="s">
        <v>138</v>
      </c>
      <c r="M3" s="32" t="s">
        <v>139</v>
      </c>
    </row>
    <row r="4" spans="2:13">
      <c r="B4" s="4"/>
      <c r="C4" s="11" t="s">
        <v>12</v>
      </c>
      <c r="D4" s="12"/>
      <c r="F4" s="33" t="s">
        <v>215</v>
      </c>
      <c r="G4" s="34"/>
      <c r="H4" s="34"/>
      <c r="I4" s="34"/>
      <c r="J4" s="34"/>
      <c r="K4" s="34"/>
      <c r="L4" s="34"/>
      <c r="M4" s="35"/>
    </row>
    <row r="5" spans="2:13">
      <c r="B5" s="4"/>
      <c r="C5" s="11" t="s">
        <v>117</v>
      </c>
      <c r="D5" s="12"/>
      <c r="F5" s="36">
        <v>1</v>
      </c>
      <c r="G5" s="37"/>
      <c r="H5" s="37"/>
      <c r="I5" s="37"/>
      <c r="J5" s="38"/>
      <c r="K5" s="39"/>
      <c r="L5" s="38"/>
      <c r="M5" s="40"/>
    </row>
    <row r="6" spans="2:13">
      <c r="B6" s="4"/>
      <c r="C6" s="11" t="s">
        <v>11</v>
      </c>
      <c r="D6" s="12"/>
      <c r="F6" s="36">
        <v>2</v>
      </c>
      <c r="G6" s="37"/>
      <c r="H6" s="37"/>
      <c r="I6" s="37"/>
      <c r="J6" s="38"/>
      <c r="K6" s="39"/>
      <c r="L6" s="38"/>
      <c r="M6" s="40"/>
    </row>
    <row r="7" spans="2:13">
      <c r="B7" s="4">
        <v>2.2000000000000002</v>
      </c>
      <c r="C7" s="11" t="s">
        <v>5</v>
      </c>
      <c r="D7" s="14">
        <v>44197</v>
      </c>
      <c r="F7" s="36">
        <v>3</v>
      </c>
      <c r="G7" s="37"/>
      <c r="H7" s="37"/>
      <c r="I7" s="37"/>
      <c r="J7" s="38"/>
      <c r="K7" s="39"/>
      <c r="L7" s="38"/>
      <c r="M7" s="40"/>
    </row>
    <row r="8" spans="2:13">
      <c r="B8" s="4">
        <v>2.2999999999999998</v>
      </c>
      <c r="C8" s="11" t="s">
        <v>121</v>
      </c>
      <c r="D8" s="14">
        <v>44062</v>
      </c>
      <c r="F8" s="36">
        <v>4</v>
      </c>
      <c r="G8" s="37"/>
      <c r="H8" s="37"/>
      <c r="I8" s="37"/>
      <c r="J8" s="38"/>
      <c r="K8" s="39"/>
      <c r="L8" s="38"/>
      <c r="M8" s="40"/>
    </row>
    <row r="9" spans="2:13">
      <c r="B9" s="4">
        <v>2.4</v>
      </c>
      <c r="C9" s="11" t="s">
        <v>6</v>
      </c>
      <c r="D9" s="14">
        <v>44076</v>
      </c>
      <c r="F9" s="36">
        <v>5</v>
      </c>
      <c r="G9" s="37"/>
      <c r="H9" s="37"/>
      <c r="I9" s="37"/>
      <c r="J9" s="38"/>
      <c r="K9" s="39"/>
      <c r="L9" s="38"/>
      <c r="M9" s="40"/>
    </row>
    <row r="10" spans="2:13">
      <c r="B10" s="4">
        <v>2.5</v>
      </c>
      <c r="C10" s="11" t="s">
        <v>7</v>
      </c>
      <c r="D10" s="41" t="s">
        <v>128</v>
      </c>
      <c r="F10" s="36">
        <v>6</v>
      </c>
      <c r="G10" s="37"/>
      <c r="H10" s="37"/>
      <c r="I10" s="37"/>
      <c r="J10" s="38"/>
      <c r="K10" s="39"/>
      <c r="L10" s="38"/>
      <c r="M10" s="40"/>
    </row>
    <row r="11" spans="2:13">
      <c r="B11" s="4">
        <v>2.6</v>
      </c>
      <c r="C11" s="11" t="s">
        <v>8</v>
      </c>
      <c r="D11" s="12" t="s">
        <v>157</v>
      </c>
      <c r="F11" s="36">
        <v>7</v>
      </c>
      <c r="G11" s="37"/>
      <c r="H11" s="37"/>
      <c r="I11" s="37"/>
      <c r="J11" s="38"/>
      <c r="K11" s="39"/>
      <c r="L11" s="38"/>
      <c r="M11" s="40"/>
    </row>
    <row r="12" spans="2:13">
      <c r="B12" s="4">
        <v>2.7</v>
      </c>
      <c r="C12" s="19" t="s">
        <v>9</v>
      </c>
      <c r="D12" s="12"/>
      <c r="F12" s="36">
        <v>8</v>
      </c>
      <c r="G12" s="37"/>
      <c r="H12" s="37"/>
      <c r="I12" s="37"/>
      <c r="J12" s="38"/>
      <c r="K12" s="39"/>
      <c r="L12" s="38"/>
      <c r="M12" s="40"/>
    </row>
    <row r="13" spans="2:13">
      <c r="B13" s="4"/>
      <c r="C13" s="19" t="s">
        <v>125</v>
      </c>
      <c r="D13" s="12"/>
      <c r="F13" s="36">
        <v>9</v>
      </c>
      <c r="G13" s="37"/>
      <c r="H13" s="37"/>
      <c r="I13" s="37"/>
      <c r="J13" s="38"/>
      <c r="K13" s="39"/>
      <c r="L13" s="38"/>
      <c r="M13" s="40"/>
    </row>
    <row r="14" spans="2:13">
      <c r="B14" s="4"/>
      <c r="C14" s="19" t="s">
        <v>126</v>
      </c>
      <c r="D14" s="12"/>
      <c r="F14" s="36">
        <v>10</v>
      </c>
      <c r="G14" s="37"/>
      <c r="H14" s="37"/>
      <c r="I14" s="37"/>
      <c r="J14" s="38"/>
      <c r="K14" s="39"/>
      <c r="L14" s="38"/>
      <c r="M14" s="40"/>
    </row>
    <row r="15" spans="2:13">
      <c r="B15" s="4"/>
      <c r="C15" s="19" t="s">
        <v>35</v>
      </c>
      <c r="D15" s="12"/>
      <c r="F15" s="36">
        <v>11</v>
      </c>
      <c r="G15" s="37"/>
      <c r="H15" s="37"/>
      <c r="I15" s="37"/>
      <c r="J15" s="38"/>
      <c r="K15" s="39"/>
      <c r="L15" s="38"/>
      <c r="M15" s="40"/>
    </row>
    <row r="16" spans="2:13">
      <c r="B16" s="4">
        <v>2.8</v>
      </c>
      <c r="C16" s="11" t="s">
        <v>127</v>
      </c>
      <c r="D16" s="41" t="s">
        <v>123</v>
      </c>
      <c r="F16" s="36">
        <v>12</v>
      </c>
      <c r="G16" s="37"/>
      <c r="H16" s="37"/>
      <c r="I16" s="37"/>
      <c r="J16" s="38"/>
      <c r="K16" s="39"/>
      <c r="L16" s="38"/>
      <c r="M16" s="40"/>
    </row>
    <row r="17" spans="2:13">
      <c r="B17" s="4">
        <v>2.14</v>
      </c>
      <c r="C17" s="16" t="s">
        <v>10</v>
      </c>
      <c r="D17" s="42" t="s">
        <v>129</v>
      </c>
      <c r="F17" s="36">
        <v>13</v>
      </c>
      <c r="G17" s="37"/>
      <c r="H17" s="37"/>
      <c r="I17" s="37"/>
      <c r="J17" s="38"/>
      <c r="K17" s="39"/>
      <c r="L17" s="38"/>
      <c r="M17" s="40"/>
    </row>
    <row r="18" spans="2:13">
      <c r="B18" s="4"/>
      <c r="F18" s="36">
        <v>14</v>
      </c>
      <c r="G18" s="37"/>
      <c r="H18" s="37"/>
      <c r="I18" s="37"/>
      <c r="J18" s="38"/>
      <c r="K18" s="39"/>
      <c r="L18" s="38"/>
      <c r="M18" s="40"/>
    </row>
    <row r="19" spans="2:13">
      <c r="B19" s="4"/>
      <c r="C19" s="21" t="s">
        <v>130</v>
      </c>
      <c r="D19" s="10"/>
      <c r="F19" s="36">
        <v>15</v>
      </c>
      <c r="G19" s="37"/>
      <c r="H19" s="37"/>
      <c r="I19" s="37"/>
      <c r="J19" s="38"/>
      <c r="K19" s="39"/>
      <c r="L19" s="38"/>
      <c r="M19" s="40"/>
    </row>
    <row r="20" spans="2:13">
      <c r="B20" s="1">
        <v>30.1</v>
      </c>
      <c r="C20" s="22" t="s">
        <v>80</v>
      </c>
      <c r="D20" s="12"/>
      <c r="F20" s="36">
        <v>16</v>
      </c>
      <c r="G20" s="37"/>
      <c r="H20" s="37"/>
      <c r="I20" s="37"/>
      <c r="J20" s="38"/>
      <c r="K20" s="39"/>
      <c r="L20" s="38"/>
      <c r="M20" s="40"/>
    </row>
    <row r="21" spans="2:13">
      <c r="B21" s="1">
        <v>30.11</v>
      </c>
      <c r="C21" s="22" t="s">
        <v>81</v>
      </c>
      <c r="D21" s="12"/>
      <c r="F21" s="36">
        <v>17</v>
      </c>
      <c r="G21" s="37"/>
      <c r="H21" s="37"/>
      <c r="I21" s="37"/>
      <c r="J21" s="38"/>
      <c r="K21" s="39"/>
      <c r="L21" s="38"/>
      <c r="M21" s="40"/>
    </row>
    <row r="22" spans="2:13">
      <c r="B22" s="1">
        <v>30.12</v>
      </c>
      <c r="C22" s="22" t="s">
        <v>82</v>
      </c>
      <c r="D22" s="12"/>
      <c r="F22" s="36">
        <v>18</v>
      </c>
      <c r="G22" s="37"/>
      <c r="H22" s="37"/>
      <c r="I22" s="37"/>
      <c r="J22" s="38"/>
      <c r="K22" s="39"/>
      <c r="L22" s="38"/>
      <c r="M22" s="40"/>
    </row>
    <row r="23" spans="2:13">
      <c r="B23" s="1">
        <v>30.125</v>
      </c>
      <c r="C23" s="22" t="s">
        <v>140</v>
      </c>
      <c r="D23" s="12"/>
      <c r="F23" s="36">
        <v>19</v>
      </c>
      <c r="G23" s="37"/>
      <c r="H23" s="37"/>
      <c r="I23" s="37"/>
      <c r="J23" s="38"/>
      <c r="K23" s="39"/>
      <c r="L23" s="38"/>
      <c r="M23" s="40"/>
    </row>
    <row r="24" spans="2:13">
      <c r="B24" s="1" t="s">
        <v>87</v>
      </c>
      <c r="C24" s="22" t="s">
        <v>88</v>
      </c>
      <c r="D24" s="12"/>
      <c r="F24" s="36">
        <v>20</v>
      </c>
      <c r="G24" s="37"/>
      <c r="H24" s="37"/>
      <c r="I24" s="37"/>
      <c r="J24" s="38"/>
      <c r="K24" s="39"/>
      <c r="L24" s="38"/>
      <c r="M24" s="40"/>
    </row>
    <row r="25" spans="2:13">
      <c r="B25" s="1" t="s">
        <v>89</v>
      </c>
      <c r="C25" s="22" t="s">
        <v>141</v>
      </c>
      <c r="D25" s="12"/>
      <c r="F25" s="36">
        <v>21</v>
      </c>
      <c r="G25" s="37"/>
      <c r="H25" s="37"/>
      <c r="I25" s="37"/>
      <c r="J25" s="38"/>
      <c r="K25" s="39"/>
      <c r="L25" s="38"/>
      <c r="M25" s="40"/>
    </row>
    <row r="26" spans="2:13">
      <c r="B26" s="1" t="s">
        <v>90</v>
      </c>
      <c r="C26" s="22" t="s">
        <v>142</v>
      </c>
      <c r="D26" s="12"/>
      <c r="F26" s="36">
        <v>22</v>
      </c>
      <c r="G26" s="37"/>
      <c r="H26" s="37"/>
      <c r="I26" s="37"/>
      <c r="J26" s="38"/>
      <c r="K26" s="39"/>
      <c r="L26" s="38"/>
      <c r="M26" s="40"/>
    </row>
    <row r="27" spans="2:13">
      <c r="B27" s="1" t="s">
        <v>91</v>
      </c>
      <c r="C27" s="22" t="s">
        <v>92</v>
      </c>
      <c r="D27" s="12"/>
      <c r="F27" s="36">
        <v>23</v>
      </c>
      <c r="G27" s="37"/>
      <c r="H27" s="37"/>
      <c r="I27" s="37"/>
      <c r="J27" s="38"/>
      <c r="K27" s="39"/>
      <c r="L27" s="38"/>
      <c r="M27" s="40"/>
    </row>
    <row r="28" spans="2:13">
      <c r="B28" s="1" t="s">
        <v>93</v>
      </c>
      <c r="C28" s="22" t="s">
        <v>94</v>
      </c>
      <c r="D28" s="12"/>
      <c r="F28" s="36">
        <v>24</v>
      </c>
      <c r="G28" s="37"/>
      <c r="H28" s="37"/>
      <c r="I28" s="37"/>
      <c r="J28" s="38"/>
      <c r="K28" s="39"/>
      <c r="L28" s="38"/>
      <c r="M28" s="40"/>
    </row>
    <row r="29" spans="2:13">
      <c r="C29" s="22" t="s">
        <v>143</v>
      </c>
      <c r="D29" s="12"/>
      <c r="F29" s="36">
        <v>25</v>
      </c>
      <c r="G29" s="37"/>
      <c r="H29" s="37"/>
      <c r="I29" s="37"/>
      <c r="J29" s="38"/>
      <c r="K29" s="39"/>
      <c r="L29" s="38"/>
      <c r="M29" s="40"/>
    </row>
    <row r="30" spans="2:13">
      <c r="B30" s="1">
        <v>30.14</v>
      </c>
      <c r="C30" s="22" t="s">
        <v>83</v>
      </c>
      <c r="D30" s="12"/>
      <c r="F30" s="36">
        <v>26</v>
      </c>
      <c r="G30" s="37"/>
      <c r="H30" s="37"/>
      <c r="I30" s="37"/>
      <c r="J30" s="38"/>
      <c r="K30" s="39"/>
      <c r="L30" s="38"/>
      <c r="M30" s="40"/>
    </row>
    <row r="31" spans="2:13">
      <c r="C31" s="22" t="s">
        <v>145</v>
      </c>
      <c r="D31" s="12"/>
      <c r="F31" s="36">
        <v>27</v>
      </c>
      <c r="G31" s="37"/>
      <c r="H31" s="37"/>
      <c r="I31" s="37"/>
      <c r="J31" s="38"/>
      <c r="K31" s="39"/>
      <c r="L31" s="38"/>
      <c r="M31" s="40"/>
    </row>
    <row r="32" spans="2:13">
      <c r="C32" s="22" t="s">
        <v>102</v>
      </c>
      <c r="D32" s="12"/>
      <c r="F32" s="36">
        <v>28</v>
      </c>
      <c r="G32" s="37"/>
      <c r="H32" s="37"/>
      <c r="I32" s="37"/>
      <c r="J32" s="38"/>
      <c r="K32" s="39"/>
      <c r="L32" s="38"/>
      <c r="M32" s="40"/>
    </row>
    <row r="33" spans="2:13">
      <c r="B33" s="1" t="s">
        <v>95</v>
      </c>
      <c r="C33" s="22" t="s">
        <v>146</v>
      </c>
      <c r="D33" s="12"/>
      <c r="F33" s="36">
        <v>29</v>
      </c>
      <c r="G33" s="37"/>
      <c r="H33" s="37"/>
      <c r="I33" s="37"/>
      <c r="J33" s="38"/>
      <c r="K33" s="39"/>
      <c r="L33" s="38"/>
      <c r="M33" s="40"/>
    </row>
    <row r="34" spans="2:13">
      <c r="B34" s="1" t="s">
        <v>96</v>
      </c>
      <c r="C34" s="22" t="s">
        <v>147</v>
      </c>
      <c r="D34" s="12"/>
      <c r="F34" s="36">
        <v>30</v>
      </c>
      <c r="G34" s="37"/>
      <c r="H34" s="37"/>
      <c r="I34" s="37"/>
      <c r="J34" s="38"/>
      <c r="K34" s="39"/>
      <c r="L34" s="38"/>
      <c r="M34" s="40"/>
    </row>
    <row r="35" spans="2:13">
      <c r="B35" s="1" t="s">
        <v>97</v>
      </c>
      <c r="C35" s="22" t="s">
        <v>98</v>
      </c>
      <c r="D35" s="12"/>
      <c r="F35" s="36">
        <v>31</v>
      </c>
      <c r="G35" s="37"/>
      <c r="H35" s="37"/>
      <c r="I35" s="37"/>
      <c r="J35" s="38"/>
      <c r="K35" s="39"/>
      <c r="L35" s="38"/>
      <c r="M35" s="40"/>
    </row>
    <row r="36" spans="2:13">
      <c r="B36" s="1" t="s">
        <v>99</v>
      </c>
      <c r="C36" s="22" t="s">
        <v>100</v>
      </c>
      <c r="D36" s="12"/>
      <c r="F36" s="36">
        <v>32</v>
      </c>
      <c r="G36" s="37"/>
      <c r="H36" s="37"/>
      <c r="I36" s="37"/>
      <c r="J36" s="38"/>
      <c r="K36" s="39"/>
      <c r="L36" s="38"/>
      <c r="M36" s="40"/>
    </row>
    <row r="37" spans="2:13">
      <c r="B37" s="1">
        <v>30.15</v>
      </c>
      <c r="C37" s="22" t="s">
        <v>84</v>
      </c>
      <c r="D37" s="12"/>
      <c r="F37" s="36">
        <v>33</v>
      </c>
      <c r="G37" s="37"/>
      <c r="H37" s="37"/>
      <c r="I37" s="37"/>
      <c r="J37" s="38"/>
      <c r="K37" s="39"/>
      <c r="L37" s="38"/>
      <c r="M37" s="40"/>
    </row>
    <row r="38" spans="2:13">
      <c r="B38" s="1">
        <v>30.13</v>
      </c>
      <c r="C38" s="22" t="s">
        <v>148</v>
      </c>
      <c r="D38" s="12"/>
      <c r="F38" s="36">
        <v>34</v>
      </c>
      <c r="G38" s="37"/>
      <c r="H38" s="37"/>
      <c r="I38" s="37"/>
      <c r="J38" s="38"/>
      <c r="K38" s="39"/>
      <c r="L38" s="38"/>
      <c r="M38" s="40"/>
    </row>
    <row r="39" spans="2:13">
      <c r="B39" s="1" t="s">
        <v>101</v>
      </c>
      <c r="C39" s="22" t="s">
        <v>150</v>
      </c>
      <c r="D39" s="12"/>
      <c r="F39" s="36">
        <v>35</v>
      </c>
      <c r="G39" s="37"/>
      <c r="H39" s="37"/>
      <c r="I39" s="37"/>
      <c r="J39" s="38"/>
      <c r="K39" s="39"/>
      <c r="L39" s="38"/>
      <c r="M39" s="40"/>
    </row>
    <row r="40" spans="2:13">
      <c r="B40" s="1" t="s">
        <v>103</v>
      </c>
      <c r="C40" s="22" t="s">
        <v>151</v>
      </c>
      <c r="D40" s="12"/>
      <c r="F40" s="36">
        <v>36</v>
      </c>
      <c r="G40" s="37"/>
      <c r="H40" s="37"/>
      <c r="I40" s="37"/>
      <c r="J40" s="38"/>
      <c r="K40" s="39"/>
      <c r="L40" s="38"/>
      <c r="M40" s="40"/>
    </row>
    <row r="41" spans="2:13">
      <c r="B41" s="1" t="s">
        <v>104</v>
      </c>
      <c r="C41" s="22" t="s">
        <v>152</v>
      </c>
      <c r="D41" s="12"/>
      <c r="F41" s="36">
        <v>37</v>
      </c>
      <c r="G41" s="37"/>
      <c r="H41" s="37"/>
      <c r="I41" s="37"/>
      <c r="J41" s="38"/>
      <c r="K41" s="39"/>
      <c r="L41" s="38"/>
      <c r="M41" s="40"/>
    </row>
    <row r="42" spans="2:13">
      <c r="B42" s="1" t="s">
        <v>105</v>
      </c>
      <c r="C42" s="22" t="s">
        <v>106</v>
      </c>
      <c r="D42" s="12"/>
      <c r="F42" s="36">
        <v>38</v>
      </c>
      <c r="G42" s="37"/>
      <c r="H42" s="37"/>
      <c r="I42" s="37"/>
      <c r="J42" s="38"/>
      <c r="K42" s="39"/>
      <c r="L42" s="38"/>
      <c r="M42" s="40"/>
    </row>
    <row r="43" spans="2:13">
      <c r="B43" s="1" t="s">
        <v>107</v>
      </c>
      <c r="C43" s="27" t="s">
        <v>108</v>
      </c>
      <c r="D43" s="26"/>
      <c r="F43" s="36">
        <v>39</v>
      </c>
      <c r="G43" s="37"/>
      <c r="H43" s="37"/>
      <c r="I43" s="37"/>
      <c r="J43" s="38"/>
      <c r="K43" s="39"/>
      <c r="L43" s="38"/>
      <c r="M43" s="40"/>
    </row>
    <row r="45" spans="2:13">
      <c r="C45" s="21" t="s">
        <v>131</v>
      </c>
      <c r="D45" s="10"/>
    </row>
    <row r="46" spans="2:13">
      <c r="B46" s="1">
        <v>17.100000000000001</v>
      </c>
      <c r="C46" s="11" t="s">
        <v>36</v>
      </c>
      <c r="D46" s="12" t="s">
        <v>16</v>
      </c>
    </row>
    <row r="47" spans="2:13">
      <c r="B47" s="1">
        <v>17.2</v>
      </c>
      <c r="C47" s="11" t="s">
        <v>37</v>
      </c>
      <c r="D47" s="12" t="s">
        <v>16</v>
      </c>
    </row>
    <row r="48" spans="2:13">
      <c r="B48" s="1">
        <v>17.3</v>
      </c>
      <c r="C48" s="11" t="s">
        <v>158</v>
      </c>
      <c r="D48" s="12" t="s">
        <v>31</v>
      </c>
    </row>
    <row r="49" spans="2:4">
      <c r="B49" s="1">
        <v>18.100000000000001</v>
      </c>
      <c r="C49" s="22" t="s">
        <v>39</v>
      </c>
      <c r="D49" s="12" t="s">
        <v>31</v>
      </c>
    </row>
    <row r="50" spans="2:4">
      <c r="B50" s="1">
        <v>18.2</v>
      </c>
      <c r="C50" s="22" t="s">
        <v>40</v>
      </c>
      <c r="D50" s="12" t="s">
        <v>31</v>
      </c>
    </row>
    <row r="51" spans="2:4">
      <c r="B51" s="1">
        <v>18.3</v>
      </c>
      <c r="C51" s="22" t="s">
        <v>41</v>
      </c>
      <c r="D51" s="12" t="s">
        <v>16</v>
      </c>
    </row>
    <row r="52" spans="2:4">
      <c r="B52" s="1">
        <v>18.399999999999999</v>
      </c>
      <c r="C52" s="22" t="s">
        <v>42</v>
      </c>
      <c r="D52" s="24">
        <v>0.4</v>
      </c>
    </row>
    <row r="53" spans="2:4">
      <c r="B53" s="1">
        <v>18.5</v>
      </c>
      <c r="C53" s="22" t="s">
        <v>43</v>
      </c>
      <c r="D53" s="12" t="s">
        <v>44</v>
      </c>
    </row>
    <row r="54" spans="2:4">
      <c r="B54" s="1">
        <v>18.600000000000001</v>
      </c>
      <c r="C54" s="22" t="s">
        <v>45</v>
      </c>
      <c r="D54" s="12" t="s">
        <v>31</v>
      </c>
    </row>
    <row r="55" spans="2:4">
      <c r="C55" s="22" t="s">
        <v>144</v>
      </c>
      <c r="D55" s="12"/>
    </row>
    <row r="56" spans="2:4">
      <c r="B56" s="1">
        <v>19.5</v>
      </c>
      <c r="C56" s="11" t="s">
        <v>46</v>
      </c>
      <c r="D56" s="12" t="s">
        <v>16</v>
      </c>
    </row>
    <row r="57" spans="2:4">
      <c r="B57" s="1">
        <v>19.600000000000001</v>
      </c>
      <c r="C57" s="11" t="s">
        <v>47</v>
      </c>
      <c r="D57" s="12" t="s">
        <v>16</v>
      </c>
    </row>
    <row r="58" spans="2:4">
      <c r="B58" s="1">
        <v>19.7</v>
      </c>
      <c r="C58" s="11" t="s">
        <v>48</v>
      </c>
      <c r="D58" s="12" t="s">
        <v>31</v>
      </c>
    </row>
    <row r="59" spans="2:4">
      <c r="C59" s="11" t="s">
        <v>159</v>
      </c>
      <c r="D59" s="12"/>
    </row>
    <row r="60" spans="2:4">
      <c r="C60" s="11" t="s">
        <v>160</v>
      </c>
      <c r="D60" s="12"/>
    </row>
    <row r="61" spans="2:4">
      <c r="B61" s="1">
        <v>19.809999999999999</v>
      </c>
      <c r="C61" s="22" t="s">
        <v>49</v>
      </c>
      <c r="D61" s="12" t="s">
        <v>31</v>
      </c>
    </row>
    <row r="62" spans="2:4">
      <c r="B62" s="1">
        <v>19.82</v>
      </c>
      <c r="C62" s="22" t="s">
        <v>50</v>
      </c>
      <c r="D62" s="23">
        <v>1000000</v>
      </c>
    </row>
    <row r="63" spans="2:4">
      <c r="B63" s="1">
        <v>19.829999999999998</v>
      </c>
      <c r="C63" s="22" t="s">
        <v>51</v>
      </c>
      <c r="D63" s="24">
        <v>1.25</v>
      </c>
    </row>
    <row r="64" spans="2:4">
      <c r="B64" s="1">
        <v>19.84</v>
      </c>
      <c r="C64" s="22" t="s">
        <v>52</v>
      </c>
      <c r="D64" s="24" t="s">
        <v>31</v>
      </c>
    </row>
    <row r="65" spans="2:4">
      <c r="B65" s="1" t="s">
        <v>85</v>
      </c>
      <c r="C65" s="22" t="s">
        <v>86</v>
      </c>
      <c r="D65" s="12">
        <v>2</v>
      </c>
    </row>
    <row r="66" spans="2:4">
      <c r="C66" s="27" t="s">
        <v>149</v>
      </c>
      <c r="D66" s="26"/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InputMessage="1" showErrorMessage="1" xr:uid="{00000000-0002-0000-0200-000000000000}">
          <x14:formula1>
            <xm:f>algorithm!$B$5:$B$13</xm:f>
          </x14:formula1>
          <x14:formula2>
            <xm:f>0</xm:f>
          </x14:formula2>
          <xm:sqref>I5:I43 M5:M43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42"/>
  <sheetViews>
    <sheetView showGridLines="0" tabSelected="1" topLeftCell="A17" zoomScale="61" zoomScaleNormal="90" workbookViewId="0">
      <selection activeCell="D45" sqref="D45"/>
    </sheetView>
  </sheetViews>
  <sheetFormatPr defaultColWidth="8.5" defaultRowHeight="13.8"/>
  <cols>
    <col min="1" max="1" width="8.8984375" customWidth="1"/>
    <col min="2" max="2" width="7" style="1" customWidth="1"/>
    <col min="3" max="3" width="45.59765625" customWidth="1"/>
    <col min="4" max="4" width="8" style="1" customWidth="1"/>
    <col min="7" max="7" width="5.5" customWidth="1"/>
    <col min="8" max="8" width="26.5" customWidth="1"/>
  </cols>
  <sheetData>
    <row r="1" spans="2:5">
      <c r="C1" s="6" t="s">
        <v>112</v>
      </c>
    </row>
    <row r="2" spans="2:5">
      <c r="B2" s="7" t="s">
        <v>0</v>
      </c>
      <c r="C2" s="8" t="s">
        <v>161</v>
      </c>
      <c r="D2" s="9" t="s">
        <v>1</v>
      </c>
    </row>
    <row r="3" spans="2:5">
      <c r="B3" s="1">
        <v>8.1</v>
      </c>
      <c r="C3" s="43" t="s">
        <v>14</v>
      </c>
      <c r="D3" s="12" t="s">
        <v>110</v>
      </c>
    </row>
    <row r="4" spans="2:5">
      <c r="B4" s="1">
        <v>8.1999999999999993</v>
      </c>
      <c r="C4" s="11" t="s">
        <v>15</v>
      </c>
      <c r="D4" s="44" t="s">
        <v>16</v>
      </c>
    </row>
    <row r="5" spans="2:5">
      <c r="B5" s="1">
        <v>8.3000000000000007</v>
      </c>
      <c r="C5" s="43" t="s">
        <v>17</v>
      </c>
      <c r="D5" s="44" t="s">
        <v>16</v>
      </c>
    </row>
    <row r="6" spans="2:5">
      <c r="B6" s="1">
        <v>8.4</v>
      </c>
      <c r="C6" s="43" t="s">
        <v>18</v>
      </c>
      <c r="D6" s="25">
        <v>2500</v>
      </c>
    </row>
    <row r="7" spans="2:5">
      <c r="B7" s="1">
        <v>8.5</v>
      </c>
      <c r="C7" s="43" t="s">
        <v>19</v>
      </c>
      <c r="D7" s="25">
        <v>5000</v>
      </c>
    </row>
    <row r="8" spans="2:5">
      <c r="B8" s="1">
        <v>8.6</v>
      </c>
      <c r="C8" s="45" t="s">
        <v>20</v>
      </c>
      <c r="D8" s="24">
        <v>0.8</v>
      </c>
    </row>
    <row r="9" spans="2:5">
      <c r="B9" s="1">
        <v>8.6999999999999993</v>
      </c>
      <c r="C9" s="45" t="s">
        <v>21</v>
      </c>
      <c r="D9" s="24">
        <v>0.6</v>
      </c>
    </row>
    <row r="10" spans="2:5" ht="276">
      <c r="B10" s="1">
        <v>8.1</v>
      </c>
      <c r="C10" s="43" t="s">
        <v>22</v>
      </c>
      <c r="D10" s="25">
        <v>5850</v>
      </c>
      <c r="E10" s="46" t="s">
        <v>162</v>
      </c>
    </row>
    <row r="11" spans="2:5">
      <c r="B11" s="1">
        <v>8.11</v>
      </c>
      <c r="C11" s="43" t="s">
        <v>23</v>
      </c>
      <c r="D11" s="25">
        <v>12000</v>
      </c>
    </row>
    <row r="12" spans="2:5">
      <c r="B12" s="1" t="s">
        <v>24</v>
      </c>
      <c r="C12" s="47" t="s">
        <v>25</v>
      </c>
      <c r="D12" s="25">
        <v>10</v>
      </c>
    </row>
    <row r="13" spans="2:5">
      <c r="B13" s="1" t="s">
        <v>26</v>
      </c>
      <c r="C13" s="47" t="s">
        <v>27</v>
      </c>
      <c r="D13" s="25">
        <v>20</v>
      </c>
    </row>
    <row r="14" spans="2:5">
      <c r="B14" s="1" t="s">
        <v>28</v>
      </c>
      <c r="C14" s="48" t="s">
        <v>29</v>
      </c>
      <c r="D14" s="49">
        <v>40</v>
      </c>
    </row>
    <row r="15" spans="2:5">
      <c r="B15" s="4"/>
      <c r="C15" s="5"/>
    </row>
    <row r="16" spans="2:5">
      <c r="B16" s="7" t="s">
        <v>0</v>
      </c>
      <c r="C16" s="8" t="s">
        <v>163</v>
      </c>
      <c r="D16" s="9" t="s">
        <v>1</v>
      </c>
    </row>
    <row r="17" spans="2:4">
      <c r="B17" s="1">
        <v>8.1199999999999992</v>
      </c>
      <c r="C17" s="11" t="s">
        <v>14</v>
      </c>
      <c r="D17" s="12" t="s">
        <v>30</v>
      </c>
    </row>
    <row r="18" spans="2:4">
      <c r="C18" s="11" t="s">
        <v>15</v>
      </c>
      <c r="D18" s="50"/>
    </row>
    <row r="19" spans="2:4">
      <c r="B19" s="1">
        <v>8.1300000000000008</v>
      </c>
      <c r="C19" s="11" t="s">
        <v>17</v>
      </c>
      <c r="D19" s="44" t="s">
        <v>16</v>
      </c>
    </row>
    <row r="20" spans="2:4">
      <c r="B20" s="1">
        <v>8.14</v>
      </c>
      <c r="C20" s="11" t="s">
        <v>18</v>
      </c>
      <c r="D20" s="25">
        <v>2500</v>
      </c>
    </row>
    <row r="21" spans="2:4">
      <c r="B21" s="1">
        <v>8.15</v>
      </c>
      <c r="C21" s="11" t="s">
        <v>19</v>
      </c>
      <c r="D21" s="25">
        <v>5000</v>
      </c>
    </row>
    <row r="22" spans="2:4">
      <c r="B22" s="1">
        <v>8.16</v>
      </c>
      <c r="C22" s="11" t="s">
        <v>20</v>
      </c>
      <c r="D22" s="24">
        <v>0.8</v>
      </c>
    </row>
    <row r="23" spans="2:4">
      <c r="B23" s="1">
        <v>8.18</v>
      </c>
      <c r="C23" s="11" t="s">
        <v>21</v>
      </c>
      <c r="D23" s="24">
        <v>0.6</v>
      </c>
    </row>
    <row r="24" spans="2:4">
      <c r="B24" s="1">
        <v>8.19</v>
      </c>
      <c r="C24" s="11" t="s">
        <v>22</v>
      </c>
      <c r="D24" s="25">
        <v>5850</v>
      </c>
    </row>
    <row r="25" spans="2:4">
      <c r="B25" s="1">
        <v>8.2100000000000009</v>
      </c>
      <c r="C25" s="11" t="s">
        <v>23</v>
      </c>
      <c r="D25" s="25">
        <v>12000</v>
      </c>
    </row>
    <row r="26" spans="2:4">
      <c r="B26" s="1" t="s">
        <v>32</v>
      </c>
      <c r="C26" s="22" t="s">
        <v>25</v>
      </c>
      <c r="D26" s="25">
        <v>10</v>
      </c>
    </row>
    <row r="27" spans="2:4">
      <c r="B27" s="1" t="s">
        <v>33</v>
      </c>
      <c r="C27" s="22" t="s">
        <v>27</v>
      </c>
      <c r="D27" s="25">
        <v>20</v>
      </c>
    </row>
    <row r="28" spans="2:4">
      <c r="B28" s="1" t="s">
        <v>34</v>
      </c>
      <c r="C28" s="27" t="s">
        <v>29</v>
      </c>
      <c r="D28" s="49">
        <v>40</v>
      </c>
    </row>
    <row r="30" spans="2:4">
      <c r="B30" s="69"/>
      <c r="C30" s="8" t="s">
        <v>164</v>
      </c>
      <c r="D30" s="9"/>
    </row>
    <row r="31" spans="2:4">
      <c r="C31" s="45" t="s">
        <v>14</v>
      </c>
      <c r="D31" s="13"/>
    </row>
    <row r="32" spans="2:4">
      <c r="C32" s="11" t="s">
        <v>15</v>
      </c>
      <c r="D32" s="50"/>
    </row>
    <row r="33" spans="3:4">
      <c r="C33" s="45" t="s">
        <v>17</v>
      </c>
      <c r="D33" s="50"/>
    </row>
    <row r="34" spans="3:4">
      <c r="C34" s="45" t="s">
        <v>18</v>
      </c>
      <c r="D34" s="51"/>
    </row>
    <row r="35" spans="3:4">
      <c r="C35" s="45" t="s">
        <v>19</v>
      </c>
      <c r="D35" s="51"/>
    </row>
    <row r="36" spans="3:4">
      <c r="C36" s="45" t="s">
        <v>20</v>
      </c>
      <c r="D36" s="52"/>
    </row>
    <row r="37" spans="3:4">
      <c r="C37" s="45" t="s">
        <v>21</v>
      </c>
      <c r="D37" s="52"/>
    </row>
    <row r="38" spans="3:4">
      <c r="C38" s="45" t="s">
        <v>22</v>
      </c>
      <c r="D38" s="51"/>
    </row>
    <row r="39" spans="3:4">
      <c r="C39" s="45" t="s">
        <v>23</v>
      </c>
      <c r="D39" s="51"/>
    </row>
    <row r="40" spans="3:4">
      <c r="C40" s="22" t="s">
        <v>25</v>
      </c>
      <c r="D40" s="51"/>
    </row>
    <row r="41" spans="3:4">
      <c r="C41" s="22" t="s">
        <v>27</v>
      </c>
      <c r="D41" s="51"/>
    </row>
    <row r="42" spans="3:4">
      <c r="C42" s="27" t="s">
        <v>29</v>
      </c>
      <c r="D42" s="53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24"/>
  <sheetViews>
    <sheetView showGridLines="0" zoomScale="57" zoomScaleNormal="90" workbookViewId="0">
      <selection activeCell="B5" sqref="B5"/>
    </sheetView>
  </sheetViews>
  <sheetFormatPr defaultColWidth="8.8984375" defaultRowHeight="13.8"/>
  <cols>
    <col min="2" max="2" width="25.3984375" customWidth="1"/>
    <col min="3" max="3" width="21.59765625" customWidth="1"/>
    <col min="4" max="4" width="20.8984375" customWidth="1"/>
    <col min="5" max="5" width="27.8984375" customWidth="1"/>
    <col min="6" max="6" width="24" customWidth="1"/>
    <col min="7" max="7" width="25.8984375" customWidth="1"/>
    <col min="8" max="8" width="39.19921875" customWidth="1"/>
    <col min="9" max="9" width="41" customWidth="1"/>
    <col min="10" max="10" width="38.5" customWidth="1"/>
    <col min="11" max="11" width="40.3984375" customWidth="1"/>
    <col min="12" max="12" width="24.5" customWidth="1"/>
    <col min="13" max="13" width="22" customWidth="1"/>
    <col min="14" max="14" width="30.8984375" customWidth="1"/>
  </cols>
  <sheetData>
    <row r="2" spans="2:14">
      <c r="B2" s="21" t="s">
        <v>165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9"/>
    </row>
    <row r="3" spans="2:14">
      <c r="B3" s="54" t="s">
        <v>166</v>
      </c>
      <c r="C3" s="2" t="s">
        <v>167</v>
      </c>
      <c r="D3" s="2" t="s">
        <v>15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31" t="s">
        <v>168</v>
      </c>
      <c r="M3" s="31" t="s">
        <v>169</v>
      </c>
      <c r="N3" s="55" t="s">
        <v>170</v>
      </c>
    </row>
    <row r="4" spans="2:14">
      <c r="B4" s="33" t="s">
        <v>216</v>
      </c>
      <c r="C4" s="34"/>
      <c r="D4" s="34"/>
      <c r="E4" s="34"/>
      <c r="F4" s="34"/>
      <c r="G4" s="34"/>
      <c r="H4" s="34"/>
      <c r="I4" s="35"/>
      <c r="J4" s="33"/>
      <c r="K4" s="34"/>
      <c r="L4" s="34"/>
      <c r="M4" s="34"/>
      <c r="N4" s="35"/>
    </row>
    <row r="5" spans="2:14">
      <c r="B5" s="36" t="s">
        <v>110</v>
      </c>
      <c r="C5" s="37" t="s">
        <v>171</v>
      </c>
      <c r="D5" s="37" t="s">
        <v>16</v>
      </c>
      <c r="E5" s="37" t="s">
        <v>16</v>
      </c>
      <c r="F5" s="38">
        <v>100</v>
      </c>
      <c r="G5" s="38">
        <v>200</v>
      </c>
      <c r="H5" s="39">
        <v>0.9</v>
      </c>
      <c r="I5" s="39">
        <v>0.8</v>
      </c>
      <c r="J5" s="38">
        <v>1000</v>
      </c>
      <c r="K5" s="38">
        <v>1000</v>
      </c>
      <c r="L5" s="56">
        <v>10</v>
      </c>
      <c r="M5" s="56">
        <v>10</v>
      </c>
      <c r="N5" s="57">
        <v>10</v>
      </c>
    </row>
    <row r="6" spans="2:14">
      <c r="B6" s="36" t="s">
        <v>110</v>
      </c>
      <c r="C6" s="37" t="s">
        <v>171</v>
      </c>
      <c r="D6" s="37" t="s">
        <v>16</v>
      </c>
      <c r="E6" s="37" t="s">
        <v>16</v>
      </c>
      <c r="F6" s="38">
        <v>100</v>
      </c>
      <c r="G6" s="38">
        <v>200</v>
      </c>
      <c r="H6" s="39">
        <v>0.9</v>
      </c>
      <c r="I6" s="39">
        <v>0.8</v>
      </c>
      <c r="J6" s="38">
        <v>1000</v>
      </c>
      <c r="K6" s="38">
        <v>1000</v>
      </c>
      <c r="L6" s="56">
        <v>10</v>
      </c>
      <c r="M6" s="56">
        <v>10</v>
      </c>
      <c r="N6" s="57">
        <v>10</v>
      </c>
    </row>
    <row r="7" spans="2:14">
      <c r="B7" s="36" t="s">
        <v>110</v>
      </c>
      <c r="C7" s="37" t="s">
        <v>171</v>
      </c>
      <c r="D7" s="37" t="s">
        <v>16</v>
      </c>
      <c r="E7" s="37" t="s">
        <v>16</v>
      </c>
      <c r="F7" s="38">
        <v>100</v>
      </c>
      <c r="G7" s="38">
        <v>200</v>
      </c>
      <c r="H7" s="39">
        <v>0.9</v>
      </c>
      <c r="I7" s="39">
        <v>0.8</v>
      </c>
      <c r="J7" s="38">
        <v>1000</v>
      </c>
      <c r="K7" s="38">
        <v>1000</v>
      </c>
      <c r="L7" s="56">
        <v>10</v>
      </c>
      <c r="M7" s="56">
        <v>10</v>
      </c>
      <c r="N7" s="57">
        <v>10</v>
      </c>
    </row>
    <row r="8" spans="2:14">
      <c r="B8" s="36" t="s">
        <v>110</v>
      </c>
      <c r="C8" s="37" t="s">
        <v>171</v>
      </c>
      <c r="D8" s="37" t="s">
        <v>16</v>
      </c>
      <c r="E8" s="37" t="s">
        <v>16</v>
      </c>
      <c r="F8" s="38">
        <v>100</v>
      </c>
      <c r="G8" s="38">
        <v>200</v>
      </c>
      <c r="H8" s="39">
        <v>0.9</v>
      </c>
      <c r="I8" s="39">
        <v>0.8</v>
      </c>
      <c r="J8" s="38">
        <v>1000</v>
      </c>
      <c r="K8" s="38">
        <v>1000</v>
      </c>
      <c r="L8" s="56">
        <v>10</v>
      </c>
      <c r="M8" s="56">
        <v>10</v>
      </c>
      <c r="N8" s="57">
        <v>10</v>
      </c>
    </row>
    <row r="9" spans="2:14">
      <c r="B9" s="36" t="s">
        <v>110</v>
      </c>
      <c r="C9" s="37" t="s">
        <v>171</v>
      </c>
      <c r="D9" s="37" t="s">
        <v>16</v>
      </c>
      <c r="E9" s="37" t="s">
        <v>16</v>
      </c>
      <c r="F9" s="38">
        <v>100</v>
      </c>
      <c r="G9" s="38">
        <v>200</v>
      </c>
      <c r="H9" s="39">
        <v>0.9</v>
      </c>
      <c r="I9" s="39">
        <v>0.8</v>
      </c>
      <c r="J9" s="38">
        <v>1000</v>
      </c>
      <c r="K9" s="38">
        <v>1000</v>
      </c>
      <c r="L9" s="56">
        <v>10</v>
      </c>
      <c r="M9" s="56">
        <v>10</v>
      </c>
      <c r="N9" s="57">
        <v>10</v>
      </c>
    </row>
    <row r="10" spans="2:14">
      <c r="B10" s="36" t="s">
        <v>110</v>
      </c>
      <c r="C10" s="37" t="s">
        <v>171</v>
      </c>
      <c r="D10" s="37" t="s">
        <v>16</v>
      </c>
      <c r="E10" s="37" t="s">
        <v>16</v>
      </c>
      <c r="F10" s="38">
        <v>100</v>
      </c>
      <c r="G10" s="38">
        <v>200</v>
      </c>
      <c r="H10" s="39">
        <v>0.9</v>
      </c>
      <c r="I10" s="39">
        <v>0.8</v>
      </c>
      <c r="J10" s="38">
        <v>1000</v>
      </c>
      <c r="K10" s="38">
        <v>1000</v>
      </c>
      <c r="L10" s="56">
        <v>10</v>
      </c>
      <c r="M10" s="56">
        <v>10</v>
      </c>
      <c r="N10" s="57">
        <v>10</v>
      </c>
    </row>
    <row r="11" spans="2:14">
      <c r="B11" s="36" t="s">
        <v>110</v>
      </c>
      <c r="C11" s="37" t="s">
        <v>171</v>
      </c>
      <c r="D11" s="37" t="s">
        <v>16</v>
      </c>
      <c r="E11" s="37" t="s">
        <v>16</v>
      </c>
      <c r="F11" s="38">
        <v>100</v>
      </c>
      <c r="G11" s="38">
        <v>200</v>
      </c>
      <c r="H11" s="39">
        <v>0.9</v>
      </c>
      <c r="I11" s="39">
        <v>0.8</v>
      </c>
      <c r="J11" s="38">
        <v>1000</v>
      </c>
      <c r="K11" s="38">
        <v>1000</v>
      </c>
      <c r="L11" s="56">
        <v>10</v>
      </c>
      <c r="M11" s="56">
        <v>10</v>
      </c>
      <c r="N11" s="57">
        <v>10</v>
      </c>
    </row>
    <row r="12" spans="2:14">
      <c r="B12" s="36" t="s">
        <v>110</v>
      </c>
      <c r="C12" s="37" t="s">
        <v>171</v>
      </c>
      <c r="D12" s="37" t="s">
        <v>16</v>
      </c>
      <c r="E12" s="37" t="s">
        <v>16</v>
      </c>
      <c r="F12" s="38">
        <v>100</v>
      </c>
      <c r="G12" s="38">
        <v>200</v>
      </c>
      <c r="H12" s="39">
        <v>0.9</v>
      </c>
      <c r="I12" s="39">
        <v>0.8</v>
      </c>
      <c r="J12" s="38">
        <v>1000</v>
      </c>
      <c r="K12" s="38">
        <v>1000</v>
      </c>
      <c r="L12" s="56">
        <v>10</v>
      </c>
      <c r="M12" s="56">
        <v>10</v>
      </c>
      <c r="N12" s="57">
        <v>10</v>
      </c>
    </row>
    <row r="13" spans="2:14">
      <c r="B13" s="36" t="s">
        <v>110</v>
      </c>
      <c r="C13" s="37" t="s">
        <v>171</v>
      </c>
      <c r="D13" s="37" t="s">
        <v>16</v>
      </c>
      <c r="E13" s="37" t="s">
        <v>16</v>
      </c>
      <c r="F13" s="38">
        <v>100</v>
      </c>
      <c r="G13" s="38">
        <v>200</v>
      </c>
      <c r="H13" s="39">
        <v>0.9</v>
      </c>
      <c r="I13" s="39">
        <v>0.8</v>
      </c>
      <c r="J13" s="38">
        <v>1000</v>
      </c>
      <c r="K13" s="38">
        <v>1000</v>
      </c>
      <c r="L13" s="56">
        <v>10</v>
      </c>
      <c r="M13" s="56">
        <v>10</v>
      </c>
      <c r="N13" s="57">
        <v>10</v>
      </c>
    </row>
    <row r="14" spans="2:14">
      <c r="B14" s="36" t="s">
        <v>110</v>
      </c>
      <c r="C14" s="37" t="s">
        <v>171</v>
      </c>
      <c r="D14" s="37" t="s">
        <v>16</v>
      </c>
      <c r="E14" s="37" t="s">
        <v>16</v>
      </c>
      <c r="F14" s="38">
        <v>100</v>
      </c>
      <c r="G14" s="38">
        <v>200</v>
      </c>
      <c r="H14" s="39">
        <v>0.9</v>
      </c>
      <c r="I14" s="39">
        <v>0.8</v>
      </c>
      <c r="J14" s="38">
        <v>1000</v>
      </c>
      <c r="K14" s="38">
        <v>1000</v>
      </c>
      <c r="L14" s="56">
        <v>10</v>
      </c>
      <c r="M14" s="56">
        <v>10</v>
      </c>
      <c r="N14" s="57">
        <v>10</v>
      </c>
    </row>
    <row r="15" spans="2:14">
      <c r="B15" s="36" t="s">
        <v>110</v>
      </c>
      <c r="C15" s="37" t="s">
        <v>171</v>
      </c>
      <c r="D15" s="37" t="s">
        <v>16</v>
      </c>
      <c r="E15" s="37" t="s">
        <v>16</v>
      </c>
      <c r="F15" s="38">
        <v>100</v>
      </c>
      <c r="G15" s="38">
        <v>200</v>
      </c>
      <c r="H15" s="39">
        <v>0.9</v>
      </c>
      <c r="I15" s="39">
        <v>0.8</v>
      </c>
      <c r="J15" s="38">
        <v>1000</v>
      </c>
      <c r="K15" s="38">
        <v>1000</v>
      </c>
      <c r="L15" s="56">
        <v>10</v>
      </c>
      <c r="M15" s="56">
        <v>10</v>
      </c>
      <c r="N15" s="57">
        <v>10</v>
      </c>
    </row>
    <row r="16" spans="2:14">
      <c r="B16" s="36" t="s">
        <v>110</v>
      </c>
      <c r="C16" s="37" t="s">
        <v>171</v>
      </c>
      <c r="D16" s="37" t="s">
        <v>16</v>
      </c>
      <c r="E16" s="37" t="s">
        <v>16</v>
      </c>
      <c r="F16" s="38">
        <v>100</v>
      </c>
      <c r="G16" s="38">
        <v>200</v>
      </c>
      <c r="H16" s="39">
        <v>0.9</v>
      </c>
      <c r="I16" s="39">
        <v>0.8</v>
      </c>
      <c r="J16" s="38">
        <v>1000</v>
      </c>
      <c r="K16" s="38">
        <v>1000</v>
      </c>
      <c r="L16" s="56">
        <v>10</v>
      </c>
      <c r="M16" s="56">
        <v>10</v>
      </c>
      <c r="N16" s="57">
        <v>10</v>
      </c>
    </row>
    <row r="17" spans="2:14">
      <c r="B17" s="36" t="s">
        <v>110</v>
      </c>
      <c r="C17" s="37" t="s">
        <v>171</v>
      </c>
      <c r="D17" s="37" t="s">
        <v>16</v>
      </c>
      <c r="E17" s="37" t="s">
        <v>16</v>
      </c>
      <c r="F17" s="38">
        <v>100</v>
      </c>
      <c r="G17" s="38">
        <v>200</v>
      </c>
      <c r="H17" s="39">
        <v>0.9</v>
      </c>
      <c r="I17" s="39">
        <v>0.8</v>
      </c>
      <c r="J17" s="38">
        <v>1000</v>
      </c>
      <c r="K17" s="38">
        <v>1000</v>
      </c>
      <c r="L17" s="56">
        <v>10</v>
      </c>
      <c r="M17" s="56">
        <v>10</v>
      </c>
      <c r="N17" s="57">
        <v>10</v>
      </c>
    </row>
    <row r="18" spans="2:14">
      <c r="B18" s="36" t="s">
        <v>110</v>
      </c>
      <c r="C18" s="37" t="s">
        <v>171</v>
      </c>
      <c r="D18" s="37" t="s">
        <v>16</v>
      </c>
      <c r="E18" s="37" t="s">
        <v>16</v>
      </c>
      <c r="F18" s="38">
        <v>100</v>
      </c>
      <c r="G18" s="38">
        <v>200</v>
      </c>
      <c r="H18" s="39">
        <v>0.9</v>
      </c>
      <c r="I18" s="39">
        <v>0.8</v>
      </c>
      <c r="J18" s="38">
        <v>1000</v>
      </c>
      <c r="K18" s="38">
        <v>1000</v>
      </c>
      <c r="L18" s="56">
        <v>10</v>
      </c>
      <c r="M18" s="56">
        <v>10</v>
      </c>
      <c r="N18" s="57">
        <v>10</v>
      </c>
    </row>
    <row r="19" spans="2:14">
      <c r="B19" s="36" t="s">
        <v>110</v>
      </c>
      <c r="C19" s="37" t="s">
        <v>171</v>
      </c>
      <c r="D19" s="37" t="s">
        <v>16</v>
      </c>
      <c r="E19" s="37" t="s">
        <v>16</v>
      </c>
      <c r="F19" s="38">
        <v>100</v>
      </c>
      <c r="G19" s="38">
        <v>200</v>
      </c>
      <c r="H19" s="39">
        <v>0.9</v>
      </c>
      <c r="I19" s="39">
        <v>0.8</v>
      </c>
      <c r="J19" s="38">
        <v>1000</v>
      </c>
      <c r="K19" s="38">
        <v>1000</v>
      </c>
      <c r="L19" s="56">
        <v>10</v>
      </c>
      <c r="M19" s="56">
        <v>10</v>
      </c>
      <c r="N19" s="57">
        <v>10</v>
      </c>
    </row>
    <row r="20" spans="2:14">
      <c r="B20" s="36" t="s">
        <v>110</v>
      </c>
      <c r="C20" s="37" t="s">
        <v>171</v>
      </c>
      <c r="D20" s="37" t="s">
        <v>16</v>
      </c>
      <c r="E20" s="37" t="s">
        <v>16</v>
      </c>
      <c r="F20" s="38">
        <v>100</v>
      </c>
      <c r="G20" s="38">
        <v>200</v>
      </c>
      <c r="H20" s="39">
        <v>0.9</v>
      </c>
      <c r="I20" s="39">
        <v>0.8</v>
      </c>
      <c r="J20" s="38">
        <v>1000</v>
      </c>
      <c r="K20" s="38">
        <v>1000</v>
      </c>
      <c r="L20" s="56">
        <v>10</v>
      </c>
      <c r="M20" s="56">
        <v>10</v>
      </c>
      <c r="N20" s="57">
        <v>10</v>
      </c>
    </row>
    <row r="21" spans="2:14">
      <c r="B21" s="36" t="s">
        <v>110</v>
      </c>
      <c r="C21" s="37" t="s">
        <v>171</v>
      </c>
      <c r="D21" s="37" t="s">
        <v>16</v>
      </c>
      <c r="E21" s="37" t="s">
        <v>16</v>
      </c>
      <c r="F21" s="38">
        <v>100</v>
      </c>
      <c r="G21" s="38">
        <v>200</v>
      </c>
      <c r="H21" s="39">
        <v>0.9</v>
      </c>
      <c r="I21" s="39">
        <v>0.8</v>
      </c>
      <c r="J21" s="38">
        <v>1000</v>
      </c>
      <c r="K21" s="38">
        <v>1000</v>
      </c>
      <c r="L21" s="56">
        <v>10</v>
      </c>
      <c r="M21" s="56">
        <v>10</v>
      </c>
      <c r="N21" s="57">
        <v>10</v>
      </c>
    </row>
    <row r="22" spans="2:14">
      <c r="B22" s="36" t="s">
        <v>110</v>
      </c>
      <c r="C22" s="37" t="s">
        <v>171</v>
      </c>
      <c r="D22" s="37" t="s">
        <v>16</v>
      </c>
      <c r="E22" s="37" t="s">
        <v>16</v>
      </c>
      <c r="F22" s="38">
        <v>100</v>
      </c>
      <c r="G22" s="38">
        <v>200</v>
      </c>
      <c r="H22" s="39">
        <v>0.9</v>
      </c>
      <c r="I22" s="39">
        <v>0.8</v>
      </c>
      <c r="J22" s="38">
        <v>1000</v>
      </c>
      <c r="K22" s="38">
        <v>1000</v>
      </c>
      <c r="L22" s="56">
        <v>10</v>
      </c>
      <c r="M22" s="56">
        <v>10</v>
      </c>
      <c r="N22" s="57">
        <v>10</v>
      </c>
    </row>
    <row r="23" spans="2:14">
      <c r="B23" s="36" t="s">
        <v>110</v>
      </c>
      <c r="C23" s="37" t="s">
        <v>171</v>
      </c>
      <c r="D23" s="37" t="s">
        <v>16</v>
      </c>
      <c r="E23" s="37" t="s">
        <v>16</v>
      </c>
      <c r="F23" s="38">
        <v>100</v>
      </c>
      <c r="G23" s="38">
        <v>200</v>
      </c>
      <c r="H23" s="39">
        <v>0.9</v>
      </c>
      <c r="I23" s="39">
        <v>0.8</v>
      </c>
      <c r="J23" s="38">
        <v>1000</v>
      </c>
      <c r="K23" s="38">
        <v>1000</v>
      </c>
      <c r="L23" s="56">
        <v>10</v>
      </c>
      <c r="M23" s="56">
        <v>10</v>
      </c>
      <c r="N23" s="57">
        <v>10</v>
      </c>
    </row>
    <row r="24" spans="2:14">
      <c r="B24" s="36" t="s">
        <v>110</v>
      </c>
      <c r="C24" s="37" t="s">
        <v>171</v>
      </c>
      <c r="D24" s="37" t="s">
        <v>16</v>
      </c>
      <c r="E24" s="37" t="s">
        <v>16</v>
      </c>
      <c r="F24" s="38">
        <v>100</v>
      </c>
      <c r="G24" s="38">
        <v>200</v>
      </c>
      <c r="H24" s="39">
        <v>0.9</v>
      </c>
      <c r="I24" s="39">
        <v>0.8</v>
      </c>
      <c r="J24" s="38">
        <v>1000</v>
      </c>
      <c r="K24" s="38">
        <v>1000</v>
      </c>
      <c r="L24" s="56">
        <v>10</v>
      </c>
      <c r="M24" s="56">
        <v>10</v>
      </c>
      <c r="N24" s="57">
        <v>10</v>
      </c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InputMessage="1" showErrorMessage="1" xr:uid="{00000000-0002-0000-0400-000000000000}">
          <x14:formula1>
            <xm:f>algorithm!$B$15:$B$17</xm:f>
          </x14:formula1>
          <x14:formula2>
            <xm:f>0</xm:f>
          </x14:formula2>
          <xm:sqref>C5:C24</xm:sqref>
        </x14:dataValidation>
        <x14:dataValidation type="list" operator="equal" allowBlank="1" showInputMessage="1" showErrorMessage="1" xr:uid="{00000000-0002-0000-0400-000001000000}">
          <x14:formula1>
            <xm:f>algorithm!$B$19:$B$20</xm:f>
          </x14:formula1>
          <x14:formula2>
            <xm:f>0</xm:f>
          </x14:formula2>
          <xm:sqref>D5:E24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34"/>
  <sheetViews>
    <sheetView showGridLines="0" zoomScale="68" zoomScaleNormal="100" workbookViewId="0">
      <selection activeCell="G15" sqref="G15:O18"/>
    </sheetView>
  </sheetViews>
  <sheetFormatPr defaultColWidth="8.5" defaultRowHeight="13.8"/>
  <cols>
    <col min="2" max="2" width="8.8984375" style="1" customWidth="1"/>
    <col min="3" max="3" width="29.8984375" customWidth="1"/>
    <col min="4" max="4" width="15.3984375" style="1" customWidth="1"/>
    <col min="5" max="5" width="8.5" style="66"/>
    <col min="7" max="7" width="12.296875" customWidth="1"/>
    <col min="8" max="8" width="6.8984375" customWidth="1"/>
    <col min="10" max="11" width="10.3984375" customWidth="1"/>
    <col min="12" max="12" width="17" customWidth="1"/>
    <col min="13" max="13" width="23.09765625" customWidth="1"/>
    <col min="14" max="14" width="14" customWidth="1"/>
    <col min="15" max="15" width="27.19921875" customWidth="1"/>
  </cols>
  <sheetData>
    <row r="2" spans="2:20">
      <c r="C2" s="21" t="s">
        <v>71</v>
      </c>
      <c r="D2" s="10"/>
      <c r="G2" s="3" t="s">
        <v>172</v>
      </c>
    </row>
    <row r="3" spans="2:20">
      <c r="B3" s="1">
        <v>23.1</v>
      </c>
      <c r="C3" s="11" t="s">
        <v>72</v>
      </c>
      <c r="D3" s="14">
        <v>43831</v>
      </c>
    </row>
    <row r="4" spans="2:20">
      <c r="B4" s="1">
        <v>23.2</v>
      </c>
      <c r="C4" s="11" t="s">
        <v>73</v>
      </c>
      <c r="D4" s="14">
        <v>44074</v>
      </c>
    </row>
    <row r="5" spans="2:20">
      <c r="B5" s="1">
        <v>23.4</v>
      </c>
      <c r="C5" s="11" t="s">
        <v>74</v>
      </c>
      <c r="D5" s="12" t="s">
        <v>54</v>
      </c>
    </row>
    <row r="6" spans="2:20">
      <c r="B6" s="1">
        <v>23.5</v>
      </c>
      <c r="C6" s="11" t="s">
        <v>75</v>
      </c>
      <c r="D6" s="12" t="s">
        <v>31</v>
      </c>
    </row>
    <row r="7" spans="2:20">
      <c r="B7" s="1">
        <v>23.6</v>
      </c>
      <c r="C7" s="11" t="s">
        <v>76</v>
      </c>
      <c r="D7" s="23">
        <v>41863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</row>
    <row r="8" spans="2:20">
      <c r="B8" s="1">
        <v>23.9</v>
      </c>
      <c r="C8" s="11" t="s">
        <v>77</v>
      </c>
      <c r="D8" s="12">
        <v>22</v>
      </c>
    </row>
    <row r="9" spans="2:20">
      <c r="B9" s="1">
        <v>23.16</v>
      </c>
      <c r="C9" s="11" t="s">
        <v>78</v>
      </c>
      <c r="D9" s="12" t="s">
        <v>16</v>
      </c>
    </row>
    <row r="10" spans="2:20">
      <c r="B10" s="1">
        <v>23.17</v>
      </c>
      <c r="C10" s="11" t="s">
        <v>72</v>
      </c>
      <c r="D10" s="14">
        <v>43466</v>
      </c>
    </row>
    <row r="11" spans="2:20">
      <c r="B11" s="1">
        <v>23.18</v>
      </c>
      <c r="C11" s="11" t="s">
        <v>73</v>
      </c>
      <c r="D11" s="14">
        <v>43830</v>
      </c>
    </row>
    <row r="12" spans="2:20">
      <c r="B12" s="1">
        <v>23.2</v>
      </c>
      <c r="C12" s="11" t="s">
        <v>74</v>
      </c>
      <c r="D12" s="12" t="s">
        <v>54</v>
      </c>
    </row>
    <row r="13" spans="2:20">
      <c r="B13" s="1">
        <v>23.21</v>
      </c>
      <c r="C13" s="11" t="s">
        <v>75</v>
      </c>
      <c r="D13" s="12" t="s">
        <v>31</v>
      </c>
    </row>
    <row r="14" spans="2:20">
      <c r="B14" s="1">
        <v>23.22</v>
      </c>
      <c r="C14" s="11" t="s">
        <v>76</v>
      </c>
      <c r="D14" s="23">
        <v>115571</v>
      </c>
    </row>
    <row r="15" spans="2:20">
      <c r="B15" s="1">
        <v>23.25</v>
      </c>
      <c r="C15" s="11" t="s">
        <v>77</v>
      </c>
      <c r="D15" s="12">
        <v>20</v>
      </c>
      <c r="G15" t="s">
        <v>173</v>
      </c>
      <c r="I15" t="s">
        <v>174</v>
      </c>
      <c r="J15" t="s">
        <v>72</v>
      </c>
      <c r="K15" s="1" t="s">
        <v>73</v>
      </c>
      <c r="L15" t="s">
        <v>74</v>
      </c>
      <c r="M15" t="s">
        <v>75</v>
      </c>
      <c r="N15" t="s">
        <v>76</v>
      </c>
      <c r="O15" t="s">
        <v>77</v>
      </c>
    </row>
    <row r="16" spans="2:20">
      <c r="B16" s="1">
        <v>23.28</v>
      </c>
      <c r="C16" s="11" t="s">
        <v>79</v>
      </c>
      <c r="D16" s="58" t="s">
        <v>16</v>
      </c>
      <c r="G16">
        <v>1</v>
      </c>
      <c r="I16">
        <v>1</v>
      </c>
      <c r="J16" s="14">
        <v>43831</v>
      </c>
      <c r="K16" s="14">
        <v>44074</v>
      </c>
      <c r="L16" s="12" t="s">
        <v>54</v>
      </c>
      <c r="M16" s="12" t="s">
        <v>31</v>
      </c>
      <c r="N16" s="23">
        <v>41863</v>
      </c>
      <c r="O16" s="12">
        <v>22</v>
      </c>
    </row>
    <row r="17" spans="2:19">
      <c r="B17" s="1">
        <v>23.29</v>
      </c>
      <c r="C17" s="11" t="s">
        <v>72</v>
      </c>
      <c r="D17" s="14">
        <v>43101</v>
      </c>
      <c r="G17">
        <v>1</v>
      </c>
      <c r="I17">
        <v>2</v>
      </c>
      <c r="J17" s="14">
        <v>43466</v>
      </c>
      <c r="K17" s="14">
        <v>43830</v>
      </c>
      <c r="L17" s="12" t="s">
        <v>54</v>
      </c>
      <c r="M17" s="12" t="s">
        <v>31</v>
      </c>
      <c r="N17" s="23">
        <v>115571</v>
      </c>
      <c r="O17" s="12">
        <v>20</v>
      </c>
    </row>
    <row r="18" spans="2:19">
      <c r="B18" s="1">
        <v>23.3</v>
      </c>
      <c r="C18" s="11" t="s">
        <v>73</v>
      </c>
      <c r="D18" s="14">
        <v>43465</v>
      </c>
      <c r="G18">
        <v>1</v>
      </c>
      <c r="I18">
        <v>3</v>
      </c>
      <c r="J18" s="14">
        <v>43101</v>
      </c>
      <c r="K18" s="14">
        <v>43465</v>
      </c>
      <c r="L18" s="12" t="s">
        <v>54</v>
      </c>
      <c r="M18" s="12" t="s">
        <v>31</v>
      </c>
      <c r="N18" s="23">
        <v>84581</v>
      </c>
      <c r="O18" s="26">
        <v>21</v>
      </c>
    </row>
    <row r="19" spans="2:19">
      <c r="B19" s="1">
        <v>23.32</v>
      </c>
      <c r="C19" s="11" t="s">
        <v>74</v>
      </c>
      <c r="D19" s="12" t="s">
        <v>54</v>
      </c>
    </row>
    <row r="20" spans="2:19">
      <c r="B20" s="1">
        <v>23.33</v>
      </c>
      <c r="C20" s="11" t="s">
        <v>75</v>
      </c>
      <c r="D20" s="12" t="s">
        <v>31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</row>
    <row r="21" spans="2:19">
      <c r="B21" s="1">
        <v>23.34</v>
      </c>
      <c r="C21" s="11" t="s">
        <v>76</v>
      </c>
      <c r="D21" s="23">
        <v>84581</v>
      </c>
    </row>
    <row r="22" spans="2:19">
      <c r="B22" s="1">
        <v>23.37</v>
      </c>
      <c r="C22" s="16" t="s">
        <v>77</v>
      </c>
      <c r="D22" s="26">
        <v>21</v>
      </c>
    </row>
    <row r="24" spans="2:19">
      <c r="G24" t="s">
        <v>175</v>
      </c>
      <c r="H24" t="s">
        <v>176</v>
      </c>
    </row>
    <row r="25" spans="2:19">
      <c r="G25" t="s">
        <v>177</v>
      </c>
    </row>
    <row r="26" spans="2:19">
      <c r="G26" t="s">
        <v>109</v>
      </c>
    </row>
    <row r="27" spans="2:19">
      <c r="G27" t="s">
        <v>178</v>
      </c>
    </row>
    <row r="28" spans="2:19">
      <c r="G28" t="s">
        <v>179</v>
      </c>
    </row>
    <row r="29" spans="2:19">
      <c r="G29" t="s">
        <v>180</v>
      </c>
    </row>
    <row r="30" spans="2:19">
      <c r="H30" t="s">
        <v>181</v>
      </c>
    </row>
    <row r="31" spans="2:19">
      <c r="H31" t="s">
        <v>182</v>
      </c>
    </row>
    <row r="32" spans="2:19">
      <c r="H32" s="59"/>
    </row>
    <row r="33" spans="8:8">
      <c r="H33" s="59"/>
    </row>
    <row r="34" spans="8:8">
      <c r="H34" s="5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AG41"/>
  <sheetViews>
    <sheetView showGridLines="0" zoomScale="66" zoomScaleNormal="115" workbookViewId="0">
      <selection activeCell="D4" sqref="D4"/>
    </sheetView>
  </sheetViews>
  <sheetFormatPr defaultColWidth="8.5" defaultRowHeight="13.8"/>
  <cols>
    <col min="1" max="2" width="8.5" style="60"/>
    <col min="3" max="3" width="8.5" style="64"/>
    <col min="4" max="4" width="33.5" style="60" customWidth="1"/>
    <col min="5" max="5" width="7.5" style="60" customWidth="1"/>
    <col min="6" max="6" width="16.5" style="60" customWidth="1"/>
    <col min="7" max="7" width="16" style="60" customWidth="1"/>
    <col min="8" max="8" width="7.8984375" style="60" customWidth="1"/>
    <col min="9" max="9" width="13.3984375" style="60" customWidth="1"/>
    <col min="10" max="10" width="8.5" style="60"/>
    <col min="11" max="11" width="10.09765625" style="60" customWidth="1"/>
    <col min="12" max="12" width="7.3984375" style="60" customWidth="1"/>
    <col min="13" max="13" width="18.59765625" style="60" customWidth="1"/>
    <col min="14" max="14" width="10.5" style="60" customWidth="1"/>
    <col min="15" max="15" width="12" style="60" customWidth="1"/>
    <col min="16" max="16384" width="8.5" style="60"/>
  </cols>
  <sheetData>
    <row r="4" spans="2:27">
      <c r="K4" s="60" t="s">
        <v>183</v>
      </c>
      <c r="L4" s="60" t="s">
        <v>184</v>
      </c>
      <c r="M4" s="60" t="s">
        <v>185</v>
      </c>
      <c r="N4" s="60" t="s">
        <v>186</v>
      </c>
      <c r="O4" s="60" t="s">
        <v>187</v>
      </c>
    </row>
    <row r="5" spans="2:27">
      <c r="B5" s="60" t="s">
        <v>188</v>
      </c>
      <c r="D5" s="60" t="s">
        <v>13</v>
      </c>
      <c r="E5" s="61" t="s">
        <v>171</v>
      </c>
      <c r="F5" s="61" t="s">
        <v>171</v>
      </c>
      <c r="G5" s="61" t="s">
        <v>189</v>
      </c>
      <c r="H5" s="61" t="s">
        <v>190</v>
      </c>
      <c r="I5" s="61"/>
      <c r="K5" s="60" t="s">
        <v>191</v>
      </c>
      <c r="L5" s="60" t="s">
        <v>111</v>
      </c>
      <c r="M5" s="60" t="s">
        <v>16</v>
      </c>
      <c r="N5" s="60" t="s">
        <v>16</v>
      </c>
      <c r="O5" s="60" t="s">
        <v>16</v>
      </c>
    </row>
    <row r="6" spans="2:27">
      <c r="B6" s="60" t="s">
        <v>54</v>
      </c>
      <c r="D6" s="60" t="s">
        <v>184</v>
      </c>
      <c r="E6" s="61" t="s">
        <v>111</v>
      </c>
      <c r="F6" s="61" t="s">
        <v>111</v>
      </c>
      <c r="G6" s="61" t="s">
        <v>192</v>
      </c>
      <c r="H6" s="61" t="s">
        <v>193</v>
      </c>
      <c r="I6" s="61" t="s">
        <v>194</v>
      </c>
      <c r="K6" s="60" t="s">
        <v>195</v>
      </c>
    </row>
    <row r="7" spans="2:27">
      <c r="B7" s="60" t="s">
        <v>196</v>
      </c>
      <c r="D7" s="60" t="s">
        <v>185</v>
      </c>
      <c r="E7" s="61" t="s">
        <v>16</v>
      </c>
      <c r="F7" s="61" t="s">
        <v>16</v>
      </c>
      <c r="G7" s="61" t="s">
        <v>31</v>
      </c>
      <c r="H7" s="61"/>
      <c r="I7" s="61"/>
      <c r="K7" s="60" t="s">
        <v>197</v>
      </c>
    </row>
    <row r="8" spans="2:27">
      <c r="B8" s="60" t="s">
        <v>198</v>
      </c>
      <c r="D8" s="60" t="s">
        <v>186</v>
      </c>
      <c r="E8" s="61" t="s">
        <v>16</v>
      </c>
      <c r="F8" s="61" t="s">
        <v>16</v>
      </c>
      <c r="G8" s="61" t="s">
        <v>31</v>
      </c>
      <c r="H8" s="61"/>
      <c r="I8" s="61"/>
      <c r="K8" s="60" t="s">
        <v>199</v>
      </c>
    </row>
    <row r="9" spans="2:27">
      <c r="B9" s="62" t="s">
        <v>200</v>
      </c>
      <c r="D9" s="60" t="s">
        <v>187</v>
      </c>
      <c r="E9" s="61" t="s">
        <v>16</v>
      </c>
      <c r="F9" s="61" t="s">
        <v>16</v>
      </c>
      <c r="G9" s="61" t="s">
        <v>31</v>
      </c>
      <c r="H9" s="61"/>
      <c r="I9" s="61"/>
    </row>
    <row r="10" spans="2:27">
      <c r="B10" s="62" t="s">
        <v>201</v>
      </c>
      <c r="D10" s="64"/>
      <c r="E10" s="65"/>
      <c r="F10" s="65"/>
      <c r="G10" s="65"/>
      <c r="H10" s="65"/>
      <c r="I10" s="65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2:27">
      <c r="B11" s="60" t="s">
        <v>202</v>
      </c>
      <c r="E11" s="61"/>
      <c r="F11" s="61"/>
      <c r="G11" s="61"/>
      <c r="H11" s="61"/>
      <c r="I11" s="61"/>
    </row>
    <row r="12" spans="2:27">
      <c r="B12" s="60" t="s">
        <v>203</v>
      </c>
      <c r="D12" s="60" t="s">
        <v>204</v>
      </c>
      <c r="E12" s="61" t="str">
        <f>IF(AND(E8="Yes",OR(F15,G15,H15)),"ERR","No Error")</f>
        <v>No Error</v>
      </c>
      <c r="F12" s="61"/>
      <c r="G12" s="61"/>
      <c r="H12" s="61"/>
      <c r="I12" s="61"/>
    </row>
    <row r="13" spans="2:27">
      <c r="B13" s="60" t="s">
        <v>205</v>
      </c>
      <c r="D13" s="60" t="s">
        <v>206</v>
      </c>
      <c r="E13" s="61" t="str">
        <f>IF(AND(E8="Yes",OR(F20,G20,H20)),"ERR","No Error")</f>
        <v>No Error</v>
      </c>
      <c r="F13" s="61"/>
      <c r="G13" s="61"/>
      <c r="H13" s="61"/>
      <c r="I13" s="61"/>
    </row>
    <row r="14" spans="2:27">
      <c r="B14" s="60" t="s">
        <v>217</v>
      </c>
      <c r="D14" s="60" t="s">
        <v>135</v>
      </c>
      <c r="E14" s="61"/>
      <c r="F14" s="61" t="s">
        <v>54</v>
      </c>
      <c r="G14" s="61" t="s">
        <v>200</v>
      </c>
      <c r="H14" s="61"/>
      <c r="I14" s="61"/>
      <c r="J14" s="60" t="s">
        <v>188</v>
      </c>
      <c r="K14" s="60" t="s">
        <v>54</v>
      </c>
      <c r="L14" s="60" t="s">
        <v>196</v>
      </c>
      <c r="M14" s="60" t="s">
        <v>198</v>
      </c>
      <c r="N14" s="60" t="s">
        <v>200</v>
      </c>
      <c r="O14" s="60" t="s">
        <v>201</v>
      </c>
      <c r="P14" s="60" t="s">
        <v>202</v>
      </c>
      <c r="Q14" s="60" t="s">
        <v>203</v>
      </c>
    </row>
    <row r="15" spans="2:27">
      <c r="B15" s="61" t="s">
        <v>171</v>
      </c>
      <c r="D15" s="60" t="s">
        <v>207</v>
      </c>
      <c r="E15" s="61"/>
      <c r="F15" s="61" t="b">
        <f>OR(F14="12/15",F14="12/18",F14="12/24")</f>
        <v>0</v>
      </c>
      <c r="G15" s="61" t="b">
        <f>OR(G14="12/15",G14="12/18",G14="12/24")</f>
        <v>0</v>
      </c>
      <c r="H15" s="61" t="b">
        <f>OR(H14="12/15",H14="12/18",H14="12/24")</f>
        <v>0</v>
      </c>
      <c r="I15" s="61"/>
    </row>
    <row r="16" spans="2:27">
      <c r="B16" s="61" t="s">
        <v>208</v>
      </c>
      <c r="D16" s="60" t="s">
        <v>209</v>
      </c>
      <c r="E16" s="61"/>
      <c r="F16" s="61">
        <v>1</v>
      </c>
      <c r="G16" s="61">
        <v>2</v>
      </c>
      <c r="H16" s="61">
        <v>3</v>
      </c>
      <c r="I16" s="61"/>
    </row>
    <row r="17" spans="2:33">
      <c r="B17" s="61" t="s">
        <v>210</v>
      </c>
      <c r="D17" s="60" t="s">
        <v>137</v>
      </c>
      <c r="E17" s="61"/>
      <c r="F17" s="61">
        <v>1</v>
      </c>
      <c r="G17" s="61">
        <v>2</v>
      </c>
      <c r="H17" s="61"/>
      <c r="I17" s="61"/>
    </row>
    <row r="18" spans="2:33">
      <c r="B18" s="60" t="s">
        <v>217</v>
      </c>
      <c r="D18" s="60" t="s">
        <v>138</v>
      </c>
      <c r="E18" s="61"/>
      <c r="F18" s="61">
        <v>1</v>
      </c>
      <c r="G18" s="61">
        <v>2</v>
      </c>
      <c r="H18" s="61"/>
      <c r="I18" s="61"/>
    </row>
    <row r="19" spans="2:33">
      <c r="B19" s="61" t="s">
        <v>16</v>
      </c>
      <c r="D19" s="60" t="s">
        <v>139</v>
      </c>
      <c r="E19" s="61"/>
      <c r="F19" s="61" t="s">
        <v>54</v>
      </c>
      <c r="G19" s="61" t="s">
        <v>200</v>
      </c>
      <c r="H19" s="61" t="s">
        <v>200</v>
      </c>
      <c r="I19" s="61"/>
    </row>
    <row r="20" spans="2:33">
      <c r="B20" s="61" t="s">
        <v>31</v>
      </c>
      <c r="D20" s="60" t="s">
        <v>211</v>
      </c>
      <c r="E20" s="61"/>
      <c r="F20" s="61" t="b">
        <f>OR(F19="12/15",F19="12/18",F19="12/24")</f>
        <v>0</v>
      </c>
      <c r="G20" s="61" t="b">
        <f>OR(G19="12/15",G19="12/18",G19="12/24")</f>
        <v>0</v>
      </c>
      <c r="H20" s="61" t="b">
        <f>OR(H19="12/15",H19="12/18",H19="12/24")</f>
        <v>0</v>
      </c>
      <c r="I20" s="61"/>
    </row>
    <row r="22" spans="2:33"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</row>
    <row r="24" spans="2:33">
      <c r="E24" s="60" t="s">
        <v>212</v>
      </c>
    </row>
    <row r="25" spans="2:33">
      <c r="D25" s="60" t="s">
        <v>135</v>
      </c>
    </row>
    <row r="26" spans="2:33">
      <c r="D26" s="60" t="s">
        <v>136</v>
      </c>
    </row>
    <row r="27" spans="2:33">
      <c r="D27" s="63" t="s">
        <v>137</v>
      </c>
    </row>
    <row r="28" spans="2:33">
      <c r="D28" s="63" t="s">
        <v>138</v>
      </c>
    </row>
    <row r="29" spans="2:33">
      <c r="D29" s="60" t="s">
        <v>139</v>
      </c>
    </row>
    <row r="30" spans="2:33">
      <c r="E30" s="60" t="s">
        <v>213</v>
      </c>
    </row>
    <row r="31" spans="2:33">
      <c r="D31" s="60" t="s">
        <v>135</v>
      </c>
    </row>
    <row r="32" spans="2:33">
      <c r="D32" s="60" t="s">
        <v>136</v>
      </c>
    </row>
    <row r="33" spans="4:5">
      <c r="D33" s="63" t="s">
        <v>137</v>
      </c>
    </row>
    <row r="34" spans="4:5">
      <c r="D34" s="63" t="s">
        <v>138</v>
      </c>
    </row>
    <row r="35" spans="4:5">
      <c r="D35" s="60" t="s">
        <v>139</v>
      </c>
    </row>
    <row r="36" spans="4:5">
      <c r="E36" s="60" t="s">
        <v>214</v>
      </c>
    </row>
    <row r="37" spans="4:5">
      <c r="D37" s="60" t="s">
        <v>135</v>
      </c>
    </row>
    <row r="38" spans="4:5">
      <c r="D38" s="60" t="s">
        <v>136</v>
      </c>
    </row>
    <row r="39" spans="4:5">
      <c r="D39" s="63" t="s">
        <v>137</v>
      </c>
    </row>
    <row r="40" spans="4:5">
      <c r="D40" s="63" t="s">
        <v>138</v>
      </c>
    </row>
    <row r="41" spans="4:5">
      <c r="D41" s="60" t="s">
        <v>139</v>
      </c>
    </row>
  </sheetData>
  <dataValidations count="6">
    <dataValidation type="list" operator="equal" allowBlank="1" showInputMessage="1" showErrorMessage="1" sqref="E5" xr:uid="{00000000-0002-0000-0600-000000000000}">
      <formula1>$F$5:$H$5</formula1>
      <formula2>0</formula2>
    </dataValidation>
    <dataValidation type="list" operator="equal" allowBlank="1" showInputMessage="1" showErrorMessage="1" sqref="L5 E6" xr:uid="{00000000-0002-0000-0600-000001000000}">
      <formula1>$F$6:$I$6</formula1>
      <formula2>0</formula2>
    </dataValidation>
    <dataValidation type="list" operator="equal" allowBlank="1" showInputMessage="1" showErrorMessage="1" sqref="M5 E7" xr:uid="{00000000-0002-0000-0600-000002000000}">
      <formula1>$F$7:$G$7</formula1>
      <formula2>0</formula2>
    </dataValidation>
    <dataValidation type="list" operator="equal" allowBlank="1" showInputMessage="1" showErrorMessage="1" sqref="N5 E8" xr:uid="{00000000-0002-0000-0600-000003000000}">
      <formula1>$F$8:$G$8</formula1>
      <formula2>0</formula2>
    </dataValidation>
    <dataValidation type="list" operator="equal" allowBlank="1" showInputMessage="1" showErrorMessage="1" sqref="O5 E9" xr:uid="{00000000-0002-0000-0600-000004000000}">
      <formula1>$F$9:$G$9</formula1>
      <formula2>0</formula2>
    </dataValidation>
    <dataValidation type="list" operator="equal" allowBlank="1" showInputMessage="1" showErrorMessage="1" sqref="F14:H14 F19:H19" xr:uid="{00000000-0002-0000-0600-000005000000}">
      <formula1>$J$14:$R$14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</vt:lpstr>
      <vt:lpstr>want</vt:lpstr>
      <vt:lpstr>to</vt:lpstr>
      <vt:lpstr>die</vt:lpstr>
      <vt:lpstr>fucking</vt:lpstr>
      <vt:lpstr>algorithm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Liam Haller</dc:creator>
  <dc:description/>
  <cp:lastModifiedBy>Illia Makarov</cp:lastModifiedBy>
  <cp:revision>7</cp:revision>
  <dcterms:created xsi:type="dcterms:W3CDTF">2021-04-22T20:43:10Z</dcterms:created>
  <dcterms:modified xsi:type="dcterms:W3CDTF">2025-02-06T08:22:19Z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0x0101000502052969880A4984FCAC8677AF731F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MSIP_Label_90c2fedb-0da6-4717-8531-d16a1b9930f4_ActionId">
    <vt:lpwstr>92044c4b-d68d-48df-80ee-654da631d355</vt:lpwstr>
  </property>
  <property fmtid="{D5CDD505-2E9C-101B-9397-08002B2CF9AE}" pid="6" name="MSIP_Label_90c2fedb-0da6-4717-8531-d16a1b9930f4_ContentBits">
    <vt:lpwstr>0</vt:lpwstr>
  </property>
  <property fmtid="{D5CDD505-2E9C-101B-9397-08002B2CF9AE}" pid="7" name="MSIP_Label_90c2fedb-0da6-4717-8531-d16a1b9930f4_Enabled">
    <vt:lpwstr>true</vt:lpwstr>
  </property>
  <property fmtid="{D5CDD505-2E9C-101B-9397-08002B2CF9AE}" pid="8" name="MSIP_Label_90c2fedb-0da6-4717-8531-d16a1b9930f4_Method">
    <vt:lpwstr>Standard</vt:lpwstr>
  </property>
  <property fmtid="{D5CDD505-2E9C-101B-9397-08002B2CF9AE}" pid="9" name="MSIP_Label_90c2fedb-0da6-4717-8531-d16a1b9930f4_Name">
    <vt:lpwstr>90c2fedb-0da6-4717-8531-d16a1b9930f4</vt:lpwstr>
  </property>
  <property fmtid="{D5CDD505-2E9C-101B-9397-08002B2CF9AE}" pid="10" name="MSIP_Label_90c2fedb-0da6-4717-8531-d16a1b9930f4_SetDate">
    <vt:lpwstr>2021-06-11T20:00:12Z</vt:lpwstr>
  </property>
  <property fmtid="{D5CDD505-2E9C-101B-9397-08002B2CF9AE}" pid="11" name="MSIP_Label_90c2fedb-0da6-4717-8531-d16a1b9930f4_SiteId">
    <vt:lpwstr>45597f60-6e37-4be7-acfb-4c9e23b261ea</vt:lpwstr>
  </property>
  <property fmtid="{D5CDD505-2E9C-101B-9397-08002B2CF9AE}" pid="12" name="ScaleCrop">
    <vt:bool>false</vt:bool>
  </property>
  <property fmtid="{D5CDD505-2E9C-101B-9397-08002B2CF9AE}" pid="13" name="Sensitivity">
    <vt:lpwstr>Internal</vt:lpwstr>
  </property>
  <property fmtid="{D5CDD505-2E9C-101B-9397-08002B2CF9AE}" pid="14" name="ShareDoc">
    <vt:bool>false</vt:bool>
  </property>
</Properties>
</file>